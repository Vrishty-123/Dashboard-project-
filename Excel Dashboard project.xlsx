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FAF9D003-92B5-4A10-84E3-CEFACFEBDCD3}" xr6:coauthVersionLast="47" xr6:coauthVersionMax="47" xr10:uidLastSave="{00000000-0000-0000-0000-000000000000}"/>
  <bookViews>
    <workbookView xWindow="-108" yWindow="-108" windowWidth="23256" windowHeight="12576" xr2:uid="{7597E18C-CFA9-4B04-8DBB-4C56A4475A2E}"/>
  </bookViews>
  <sheets>
    <sheet name="Dashboard" sheetId="5" r:id="rId1"/>
    <sheet name="KPI count of accounts" sheetId="10" r:id="rId2"/>
    <sheet name="KPI total spend" sheetId="8" r:id="rId3"/>
    <sheet name="KPI total budget" sheetId="9" r:id="rId4"/>
    <sheet name="KPI total bonus" sheetId="7" r:id="rId5"/>
    <sheet name="Spending trend" sheetId="6" r:id="rId6"/>
    <sheet name="spending vs budget" sheetId="4" r:id="rId7"/>
    <sheet name="Spending by category" sheetId="3" r:id="rId8"/>
    <sheet name="spending by region" sheetId="2" r:id="rId9"/>
  </sheets>
  <definedNames>
    <definedName name="Slicer_Category">#N/A</definedName>
    <definedName name="Slicer_Country">#N/A</definedName>
    <definedName name="Slicer_High_Bonus_Spend_flag">#N/A</definedName>
    <definedName name="Slicer_High_Value_Flag">#N/A</definedName>
    <definedName name="Slicer_Region">#N/A</definedName>
    <definedName name="Slicer_Weekend_Transaction">#N/A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s>
  <extLst>
    <ext xmlns:x14="http://schemas.microsoft.com/office/spreadsheetml/2009/9/main" uri="{876F7934-8845-4945-9796-88D515C7AA90}">
      <x14:pivotCaches>
        <pivotCache cacheId="8"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d3b803e6-d913-4df4-9118-e20ac2f8b96b" name="Transactions" connection="Excel Assignment for module 1 Fact Transactions with Audit Flags"/>
          <x15:modelTable id="Regions_03e35c6b-a00b-43ef-86be-49c8fc87c489" name="Regions" connection="Excel Assignment for module 1  Dim Regions"/>
          <x15:modelTable id="Accounts_b91aaeef-db97-42fb-ab1e-42027ddcf7dd" name="Accounts" connection="Excel Assignment for module 1 Dim Accounts  1"/>
        </x15:modelTables>
        <x15:modelRelationships>
          <x15:modelRelationship fromTable="Transactions" fromColumn="EntityID" toTable="Regions" toColumn="EntityID"/>
          <x15:modelRelationship fromTable="Transactions" fromColumn="AccountID" toTable="Accounts" toColumn="AccountID"/>
        </x15:modelRelationships>
        <x15:extLst>
          <ext xmlns:x16="http://schemas.microsoft.com/office/spreadsheetml/2014/11/main" uri="{9835A34E-60A6-4A7C-AAB8-D5F71C897F49}">
            <x16:modelTimeGroupings>
              <x16:modelTimeGrouping tableName="Transactions" columnName="TransactionDate" columnId="TransactionDate">
                <x16:calculatedTimeColumn columnName="TransactionDate (Month Index)" columnId="TransactionDate (Month Index)" contentType="monthsindex" isSelected="1"/>
                <x16:calculatedTimeColumn columnName="TransactionDate (Month)" columnId="Transaction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446CA3-9A23-4899-9F7C-81FDF760DD95}" name="Excel Assignment for module 1  Dim Regions" type="100" refreshedVersion="0">
    <extLst>
      <ext xmlns:x15="http://schemas.microsoft.com/office/spreadsheetml/2010/11/main" uri="{DE250136-89BD-433C-8126-D09CA5730AF9}">
        <x15:connection id="dd680907-d118-4bf7-a08e-d62c5fbefa4c"/>
      </ext>
    </extLst>
  </connection>
  <connection id="2" xr16:uid="{717CFBE9-C8BD-46BF-9391-A951B260ED12}" name="Excel Assignment for module 1 Dim Accounts  1" type="100" refreshedVersion="0">
    <extLst>
      <ext xmlns:x15="http://schemas.microsoft.com/office/spreadsheetml/2010/11/main" uri="{DE250136-89BD-433C-8126-D09CA5730AF9}">
        <x15:connection id="5b402c04-1637-42b3-987e-400d9de73c5a"/>
      </ext>
    </extLst>
  </connection>
  <connection id="3" xr16:uid="{D793EF0A-16C7-4B37-A7D5-1ED845ED3A17}" name="Excel Assignment for module 1 Fact Transactions with Audit Flags" type="100" refreshedVersion="0">
    <extLst>
      <ext xmlns:x15="http://schemas.microsoft.com/office/spreadsheetml/2010/11/main" uri="{DE250136-89BD-433C-8126-D09CA5730AF9}">
        <x15:connection id="ca5cb3a6-d543-4181-8019-5a8b35294fe9"/>
      </ext>
    </extLst>
  </connection>
  <connection id="4" xr16:uid="{0F9809C8-0D27-49A6-AAE9-7E84C161C8A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<sst xmlns="http://schemas.openxmlformats.org/spreadsheetml/2006/main" count="52" uniqueCount="33">
  <si>
    <t>Sum of Amount</t>
  </si>
  <si>
    <t>Row Labels</t>
  </si>
  <si>
    <t>APAC</t>
  </si>
  <si>
    <t>EMEA</t>
  </si>
  <si>
    <t>North America</t>
  </si>
  <si>
    <t>Grand Total</t>
  </si>
  <si>
    <t>India</t>
  </si>
  <si>
    <t>Germany</t>
  </si>
  <si>
    <t>USA</t>
  </si>
  <si>
    <t>Rent</t>
  </si>
  <si>
    <t>Salary</t>
  </si>
  <si>
    <t>Software</t>
  </si>
  <si>
    <t>Travel</t>
  </si>
  <si>
    <t xml:space="preserve">Actual spending </t>
  </si>
  <si>
    <t>Annual Budget</t>
  </si>
  <si>
    <t>Jan</t>
  </si>
  <si>
    <t>Feb</t>
  </si>
  <si>
    <t>Mar</t>
  </si>
  <si>
    <t>Apr</t>
  </si>
  <si>
    <t>May</t>
  </si>
  <si>
    <t>Jun</t>
  </si>
  <si>
    <t>Jul</t>
  </si>
  <si>
    <t>Aug</t>
  </si>
  <si>
    <t>Sep</t>
  </si>
  <si>
    <t>Oct</t>
  </si>
  <si>
    <t>Nov</t>
  </si>
  <si>
    <t>Dec</t>
  </si>
  <si>
    <t>Sum of Bonuses</t>
  </si>
  <si>
    <t>Total spend</t>
  </si>
  <si>
    <t>total budget</t>
  </si>
  <si>
    <t xml:space="preserve">Count of accounts </t>
  </si>
  <si>
    <t>Spending</t>
  </si>
  <si>
    <t>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</si>
</sst>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applyAlignment="1">
      <alignment horizontal="left" indent="1"/>
    </xf>
    <xf numFmtId="164" fontId="0" fillId="0" borderId="0" xfId="0" applyNumberFormat="1"/>
    <xf numFmtId="0" fontId="0" fillId="2" borderId="0" xfId="0" applyFill="1"/>
  </cellXfs>
  <cellStyles count="1">
    <cellStyle name="Normal" xfId="0" builtinId="0"/>
  </cellStyles>
  <dxfs count="11">
    <dxf>
      <numFmt numFmtId="164" formatCode="_(* #,##0_);_(* \(#,##0\);_(* &quot;-&quot;??_);_(@_)"/>
    </dxf>
    <dxf>
      <numFmt numFmtId="164" formatCode="_(* #,##0_);_(* \(#,##0\);_(* &quot;-&quot;??_);_(@_)"/>
    </dxf>
    <dxf>
      <numFmt numFmtId="164" formatCode="_(* #,##0_);_(* \(#,##0\);_(* &quot;-&quot;??_);_(@_)"/>
    </dxf>
    <dxf>
      <numFmt numFmtId="164" formatCode="_(* #,##0_);_(* \(#,##0\);_(* &quot;-&quot;??_);_(@_)"/>
    </dxf>
    <dxf>
      <alignment relativeIndent="1"/>
    </dxf>
    <dxf>
      <alignment relativeIndent="-1"/>
    </dxf>
    <dxf>
      <alignment relativeIndent="-1"/>
    </dxf>
    <dxf>
      <alignment relativeIndent="1"/>
    </dxf>
    <dxf>
      <alignment horizontal="left" relativeIndent="1"/>
    </dxf>
    <dxf>
      <fill>
        <patternFill>
          <bgColor rgb="FF443AC6"/>
        </patternFill>
      </fill>
    </dxf>
    <dxf>
      <fill>
        <patternFill>
          <bgColor theme="8" tint="-0.499984740745262"/>
        </patternFill>
      </fill>
    </dxf>
  </dxfs>
  <tableStyles count="2" defaultTableStyle="TableStyleMedium2" defaultPivotStyle="PivotStyleLight16">
    <tableStyle name="Slicer Style 1" pivot="0" table="0" count="1" xr9:uid="{6E03A4E1-8237-4C73-B3AF-9082CF320EB4}">
      <tableStyleElement type="wholeTable" dxfId="10"/>
    </tableStyle>
    <tableStyle name="Slicer Style 2" pivot="0" table="0" count="1" xr9:uid="{E4674DDD-D568-493F-B0F6-1C3C0783C330}">
      <tableStyleElement type="wholeTable" dxfId="9"/>
    </tableStyle>
  </tableStyles>
  <colors>
    <mruColors>
      <color rgb="FF443AC6"/>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10.xml"/><Relationship Id="rId21" Type="http://schemas.microsoft.com/office/2007/relationships/slicerCache" Target="slicerCaches/slicerCach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6.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5.xml"/><Relationship Id="rId28" Type="http://schemas.openxmlformats.org/officeDocument/2006/relationships/sharedStrings" Target="sharedStrings.xml"/><Relationship Id="rId36" Type="http://schemas.openxmlformats.org/officeDocument/2006/relationships/customXml" Target="../customXml/item7.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2.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project.xlsx]spending by region!PivotTable1</c:name>
    <c:fmtId val="2"/>
  </c:pivotSource>
  <c:chart>
    <c:title>
      <c:tx>
        <c:rich>
          <a:bodyPr rot="0" spcFirstLastPara="1" vertOverflow="ellipsis" vert="horz" wrap="square" anchor="ctr" anchorCtr="1"/>
          <a:lstStyle/>
          <a:p>
            <a:pPr>
              <a:defRPr sz="1400" b="1" i="0" u="none" strike="noStrike" kern="1200" cap="all" spc="50" baseline="0">
                <a:solidFill>
                  <a:schemeClr val="accent1">
                    <a:lumMod val="50000"/>
                  </a:schemeClr>
                </a:solidFill>
                <a:latin typeface="+mn-lt"/>
                <a:ea typeface="+mn-ea"/>
                <a:cs typeface="+mn-cs"/>
              </a:defRPr>
            </a:pPr>
            <a:r>
              <a:rPr lang="en-US" sz="1400">
                <a:solidFill>
                  <a:schemeClr val="accent1">
                    <a:lumMod val="50000"/>
                  </a:schemeClr>
                </a:solidFill>
              </a:rPr>
              <a:t>Spending</a:t>
            </a:r>
            <a:r>
              <a:rPr lang="en-US" sz="1400" baseline="0">
                <a:solidFill>
                  <a:schemeClr val="accent1">
                    <a:lumMod val="50000"/>
                  </a:schemeClr>
                </a:solidFill>
              </a:rPr>
              <a:t>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accent1">
                  <a:lumMod val="50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909581684172249"/>
          <c:y val="0.19209892051431315"/>
          <c:w val="0.33599926341356534"/>
          <c:h val="0.7360606431978105"/>
        </c:manualLayout>
      </c:layout>
      <c:doughnutChart>
        <c:varyColors val="1"/>
        <c:ser>
          <c:idx val="0"/>
          <c:order val="0"/>
          <c:tx>
            <c:strRef>
              <c:f>'spending by region'!$C$3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45-48D7-929D-D5A43F33F48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45-48D7-929D-D5A43F33F486}"/>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045-48D7-929D-D5A43F33F486}"/>
              </c:ext>
            </c:extLst>
          </c:dPt>
          <c:dLbls>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'spending by region'!$B$4:$B$7</c:f>
              <c:strCache>
                <c:ptCount val="3"/>
                <c:pt idx="0">
                  <c:v>APAC</c:v>
                </c:pt>
                <c:pt idx="1">
                  <c:v>EMEA</c:v>
                </c:pt>
                <c:pt idx="2">
                  <c:v>North America</c:v>
                </c:pt>
              </c:strCache>
            </c:strRef>
          </c:cat>
          <c:val>
            <c:numRef>
              <c:f>'spending by region'!$C$4:$C$7</c:f>
              <c:numCache>
                <c:formatCode>General</c:formatCode>
                <c:ptCount val="3"/>
                <c:pt idx="0">
                  <c:v>6177518.6299999999</c:v>
                </c:pt>
                <c:pt idx="1">
                  <c:v>8946004.2699999996</c:v>
                </c:pt>
                <c:pt idx="2">
                  <c:v>9926941.0399999991</c:v>
                </c:pt>
              </c:numCache>
            </c:numRef>
          </c:val>
          <c:extLst>
            <c:ext xmlns:c16="http://schemas.microsoft.com/office/drawing/2014/chart" uri="{C3380CC4-5D6E-409C-BE32-E72D297353CC}">
              <c16:uniqueId val="{00000006-5045-48D7-929D-D5A43F33F48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093186698770105"/>
          <c:y val="0.35504580795325119"/>
          <c:w val="0.25223617708943408"/>
          <c:h val="0.406448769375526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3175" cap="flat" cmpd="sng" algn="ctr">
      <a:solidFill>
        <a:schemeClr val="bg2">
          <a:lumMod val="90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 project.xlsx]Spending by category!PivotTable1</c:name>
    <c:fmtId val="4"/>
  </c:pivotSource>
  <c:chart>
    <c:title>
      <c:tx>
        <c:rich>
          <a:bodyPr rot="0" spcFirstLastPara="1" vertOverflow="ellipsis" vert="horz" wrap="square" anchor="ctr" anchorCtr="1"/>
          <a:lstStyle/>
          <a:p>
            <a:pPr>
              <a:defRPr sz="1400" b="1" i="0" u="none" strike="noStrike" kern="1200" baseline="0">
                <a:solidFill>
                  <a:schemeClr val="accent1">
                    <a:lumMod val="50000"/>
                  </a:schemeClr>
                </a:solidFill>
                <a:latin typeface="+mn-lt"/>
                <a:ea typeface="+mn-ea"/>
                <a:cs typeface="+mn-cs"/>
              </a:defRPr>
            </a:pPr>
            <a:r>
              <a:rPr lang="en-US" sz="1400">
                <a:solidFill>
                  <a:schemeClr val="accent1">
                    <a:lumMod val="50000"/>
                  </a:schemeClr>
                </a:solidFill>
              </a:rPr>
              <a:t>SPENDING BY CATEGORY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1395489280655"/>
          <c:y val="0.20689000238606539"/>
          <c:w val="0.80119401058474249"/>
          <c:h val="0.58839719346105357"/>
        </c:manualLayout>
      </c:layout>
      <c:barChart>
        <c:barDir val="bar"/>
        <c:grouping val="clustered"/>
        <c:varyColors val="0"/>
        <c:ser>
          <c:idx val="0"/>
          <c:order val="0"/>
          <c:tx>
            <c:strRef>
              <c:f>'Spending by category'!$C$3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'Spending by category'!$B$4:$B$8</c:f>
              <c:strCache>
                <c:ptCount val="4"/>
                <c:pt idx="0">
                  <c:v>Rent</c:v>
                </c:pt>
                <c:pt idx="1">
                  <c:v>Software</c:v>
                </c:pt>
                <c:pt idx="2">
                  <c:v>Travel</c:v>
                </c:pt>
                <c:pt idx="3">
                  <c:v>Salary</c:v>
                </c:pt>
              </c:strCache>
            </c:strRef>
          </c:cat>
          <c:val>
            <c:numRef>
              <c:f>'Spending by category'!$C$4:$C$8</c:f>
              <c:numCache>
                <c:formatCode>_(* #,##0_);_(* \(#,##0\);_(* "-"??_);_(@_)</c:formatCode>
                <c:ptCount val="4"/>
                <c:pt idx="0">
                  <c:v>3553395.93</c:v>
                </c:pt>
                <c:pt idx="1">
                  <c:v>5154546.2300000004</c:v>
                </c:pt>
                <c:pt idx="2">
                  <c:v>6012195.4500000002</c:v>
                </c:pt>
                <c:pt idx="3">
                  <c:v>10330326.33</c:v>
                </c:pt>
              </c:numCache>
            </c:numRef>
          </c:val>
          <c:extLst>
            <c:ext xmlns:c16="http://schemas.microsoft.com/office/drawing/2014/chart" uri="{C3380CC4-5D6E-409C-BE32-E72D297353CC}">
              <c16:uniqueId val="{00000000-3F05-4A89-A8B5-EDBD9EDB410E}"/>
            </c:ext>
          </c:extLst>
        </c:ser>
        <c:dLbls>
          <c:dLblPos val="ctr"/>
          <c:showLegendKey val="0"/>
          <c:showVal val="1"/>
          <c:showCatName val="0"/>
          <c:showSerName val="0"/>
          <c:showPercent val="0"/>
          <c:showBubbleSize val="0"/>
        </c:dLbls>
        <c:gapWidth val="115"/>
        <c:overlap val="-20"/>
        <c:axId val="1765908912"/>
        <c:axId val="1765903920"/>
      </c:barChart>
      <c:catAx>
        <c:axId val="17659089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5903920"/>
        <c:crosses val="autoZero"/>
        <c:auto val="1"/>
        <c:lblAlgn val="ctr"/>
        <c:lblOffset val="100"/>
        <c:noMultiLvlLbl val="0"/>
      </c:catAx>
      <c:valAx>
        <c:axId val="176590392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590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175" cap="flat" cmpd="sng" algn="ctr">
      <a:solidFill>
        <a:schemeClr val="bg2">
          <a:lumMod val="9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project.xlsx]spending vs budget!PivotTable1</c:name>
    <c:fmtId val="4"/>
  </c:pivotSource>
  <c:chart>
    <c:title>
      <c:tx>
        <c:rich>
          <a:bodyPr rot="0" spcFirstLastPara="1" vertOverflow="ellipsis" vert="horz" wrap="square" anchor="ctr" anchorCtr="1"/>
          <a:lstStyle/>
          <a:p>
            <a:pPr>
              <a:defRPr sz="1200" b="1" i="0" u="none" strike="noStrike" kern="1200" cap="all" spc="150" baseline="0">
                <a:solidFill>
                  <a:schemeClr val="accent1">
                    <a:lumMod val="50000"/>
                  </a:schemeClr>
                </a:solidFill>
                <a:latin typeface="+mn-lt"/>
                <a:ea typeface="+mn-ea"/>
                <a:cs typeface="+mn-cs"/>
              </a:defRPr>
            </a:pPr>
            <a:r>
              <a:rPr lang="en-US" sz="1200">
                <a:solidFill>
                  <a:schemeClr val="accent1">
                    <a:lumMod val="50000"/>
                  </a:schemeClr>
                </a:solidFill>
              </a:rPr>
              <a:t>Annual spending vs budget: Across countries and categories </a:t>
            </a:r>
          </a:p>
        </c:rich>
      </c:tx>
      <c:layout>
        <c:manualLayout>
          <c:xMode val="edge"/>
          <c:yMode val="edge"/>
          <c:x val="0.15634624429171784"/>
          <c:y val="2.0601565718994644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504750859631"/>
          <c:y val="0.21847238083789142"/>
          <c:w val="0.72330505198478101"/>
          <c:h val="0.41946214261385262"/>
        </c:manualLayout>
      </c:layout>
      <c:barChart>
        <c:barDir val="col"/>
        <c:grouping val="clustered"/>
        <c:varyColors val="0"/>
        <c:ser>
          <c:idx val="0"/>
          <c:order val="0"/>
          <c:tx>
            <c:strRef>
              <c:f>'spending vs budget'!$C$3</c:f>
              <c:strCache>
                <c:ptCount val="1"/>
                <c:pt idx="0">
                  <c:v>Actual spending </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'spending vs budget'!$B$4:$B$19</c:f>
              <c:multiLvlStrCache>
                <c:ptCount val="12"/>
                <c:lvl>
                  <c:pt idx="0">
                    <c:v>Rent</c:v>
                  </c:pt>
                  <c:pt idx="1">
                    <c:v>Salary</c:v>
                  </c:pt>
                  <c:pt idx="2">
                    <c:v>Software</c:v>
                  </c:pt>
                  <c:pt idx="3">
                    <c:v>Travel</c:v>
                  </c:pt>
                  <c:pt idx="4">
                    <c:v>Rent</c:v>
                  </c:pt>
                  <c:pt idx="5">
                    <c:v>Salary</c:v>
                  </c:pt>
                  <c:pt idx="6">
                    <c:v>Software</c:v>
                  </c:pt>
                  <c:pt idx="7">
                    <c:v>Travel</c:v>
                  </c:pt>
                  <c:pt idx="8">
                    <c:v>Rent</c:v>
                  </c:pt>
                  <c:pt idx="9">
                    <c:v>Salary</c:v>
                  </c:pt>
                  <c:pt idx="10">
                    <c:v>Software</c:v>
                  </c:pt>
                  <c:pt idx="11">
                    <c:v>Travel</c:v>
                  </c:pt>
                </c:lvl>
                <c:lvl>
                  <c:pt idx="0">
                    <c:v>Germany</c:v>
                  </c:pt>
                  <c:pt idx="4">
                    <c:v>India</c:v>
                  </c:pt>
                  <c:pt idx="8">
                    <c:v>USA</c:v>
                  </c:pt>
                </c:lvl>
              </c:multiLvlStrCache>
            </c:multiLvlStrRef>
          </c:cat>
          <c:val>
            <c:numRef>
              <c:f>'spending vs budget'!$C$4:$C$19</c:f>
              <c:numCache>
                <c:formatCode>General</c:formatCode>
                <c:ptCount val="12"/>
                <c:pt idx="0">
                  <c:v>1182413.3700000001</c:v>
                </c:pt>
                <c:pt idx="1">
                  <c:v>3681633.23</c:v>
                </c:pt>
                <c:pt idx="2">
                  <c:v>1820858.83</c:v>
                </c:pt>
                <c:pt idx="3">
                  <c:v>2261098.84</c:v>
                </c:pt>
                <c:pt idx="4">
                  <c:v>935779.94</c:v>
                </c:pt>
                <c:pt idx="5">
                  <c:v>2646440.64</c:v>
                </c:pt>
                <c:pt idx="6">
                  <c:v>1301134.03</c:v>
                </c:pt>
                <c:pt idx="7">
                  <c:v>1294164.02</c:v>
                </c:pt>
                <c:pt idx="8">
                  <c:v>1435202.62</c:v>
                </c:pt>
                <c:pt idx="9">
                  <c:v>4002252.46</c:v>
                </c:pt>
                <c:pt idx="10">
                  <c:v>2032553.37</c:v>
                </c:pt>
                <c:pt idx="11">
                  <c:v>2456932.59</c:v>
                </c:pt>
              </c:numCache>
            </c:numRef>
          </c:val>
          <c:extLst>
            <c:ext xmlns:c16="http://schemas.microsoft.com/office/drawing/2014/chart" uri="{C3380CC4-5D6E-409C-BE32-E72D297353CC}">
              <c16:uniqueId val="{00000000-D1AD-49CE-96BE-BE1AC9778DDB}"/>
            </c:ext>
          </c:extLst>
        </c:ser>
        <c:ser>
          <c:idx val="1"/>
          <c:order val="1"/>
          <c:tx>
            <c:strRef>
              <c:f>'spending vs budget'!$D$3</c:f>
              <c:strCache>
                <c:ptCount val="1"/>
                <c:pt idx="0">
                  <c:v>Annual Budget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multiLvlStrRef>
              <c:f>'spending vs budget'!$B$4:$B$19</c:f>
              <c:multiLvlStrCache>
                <c:ptCount val="12"/>
                <c:lvl>
                  <c:pt idx="0">
                    <c:v>Rent</c:v>
                  </c:pt>
                  <c:pt idx="1">
                    <c:v>Salary</c:v>
                  </c:pt>
                  <c:pt idx="2">
                    <c:v>Software</c:v>
                  </c:pt>
                  <c:pt idx="3">
                    <c:v>Travel</c:v>
                  </c:pt>
                  <c:pt idx="4">
                    <c:v>Rent</c:v>
                  </c:pt>
                  <c:pt idx="5">
                    <c:v>Salary</c:v>
                  </c:pt>
                  <c:pt idx="6">
                    <c:v>Software</c:v>
                  </c:pt>
                  <c:pt idx="7">
                    <c:v>Travel</c:v>
                  </c:pt>
                  <c:pt idx="8">
                    <c:v>Rent</c:v>
                  </c:pt>
                  <c:pt idx="9">
                    <c:v>Salary</c:v>
                  </c:pt>
                  <c:pt idx="10">
                    <c:v>Software</c:v>
                  </c:pt>
                  <c:pt idx="11">
                    <c:v>Travel</c:v>
                  </c:pt>
                </c:lvl>
                <c:lvl>
                  <c:pt idx="0">
                    <c:v>Germany</c:v>
                  </c:pt>
                  <c:pt idx="4">
                    <c:v>India</c:v>
                  </c:pt>
                  <c:pt idx="8">
                    <c:v>USA</c:v>
                  </c:pt>
                </c:lvl>
              </c:multiLvlStrCache>
            </c:multiLvlStrRef>
          </c:cat>
          <c:val>
            <c:numRef>
              <c:f>'spending vs budget'!$D$4:$D$19</c:f>
              <c:numCache>
                <c:formatCode>General</c:formatCode>
                <c:ptCount val="12"/>
                <c:pt idx="0">
                  <c:v>480000</c:v>
                </c:pt>
                <c:pt idx="1">
                  <c:v>1440000</c:v>
                </c:pt>
                <c:pt idx="2">
                  <c:v>300000</c:v>
                </c:pt>
                <c:pt idx="3">
                  <c:v>360000</c:v>
                </c:pt>
                <c:pt idx="4">
                  <c:v>480000</c:v>
                </c:pt>
                <c:pt idx="5">
                  <c:v>1440000</c:v>
                </c:pt>
                <c:pt idx="6">
                  <c:v>300000</c:v>
                </c:pt>
                <c:pt idx="7">
                  <c:v>360000</c:v>
                </c:pt>
                <c:pt idx="8">
                  <c:v>480000</c:v>
                </c:pt>
                <c:pt idx="9">
                  <c:v>1440000</c:v>
                </c:pt>
                <c:pt idx="10">
                  <c:v>300000</c:v>
                </c:pt>
                <c:pt idx="11">
                  <c:v>360000</c:v>
                </c:pt>
              </c:numCache>
            </c:numRef>
          </c:val>
          <c:extLst>
            <c:ext xmlns:c16="http://schemas.microsoft.com/office/drawing/2014/chart" uri="{C3380CC4-5D6E-409C-BE32-E72D297353CC}">
              <c16:uniqueId val="{00000001-D1AD-49CE-96BE-BE1AC9778DDB}"/>
            </c:ext>
          </c:extLst>
        </c:ser>
        <c:dLbls>
          <c:showLegendKey val="0"/>
          <c:showVal val="0"/>
          <c:showCatName val="0"/>
          <c:showSerName val="0"/>
          <c:showPercent val="0"/>
          <c:showBubbleSize val="0"/>
        </c:dLbls>
        <c:gapWidth val="164"/>
        <c:overlap val="-22"/>
        <c:axId val="1765908912"/>
        <c:axId val="1765903920"/>
      </c:barChart>
      <c:catAx>
        <c:axId val="17659089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65903920"/>
        <c:crosses val="autoZero"/>
        <c:auto val="1"/>
        <c:lblAlgn val="ctr"/>
        <c:lblOffset val="100"/>
        <c:noMultiLvlLbl val="0"/>
      </c:catAx>
      <c:valAx>
        <c:axId val="176590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65908912"/>
        <c:crosses val="autoZero"/>
        <c:crossBetween val="between"/>
      </c:valAx>
      <c:spPr>
        <a:noFill/>
        <a:ln>
          <a:noFill/>
        </a:ln>
        <a:effectLst/>
      </c:spPr>
    </c:plotArea>
    <c:legend>
      <c:legendPos val="r"/>
      <c:layout>
        <c:manualLayout>
          <c:xMode val="edge"/>
          <c:yMode val="edge"/>
          <c:x val="0.85449144438340541"/>
          <c:y val="0.48174934383202089"/>
          <c:w val="0.13000467964760218"/>
          <c:h val="0.326390201224846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3175" cap="flat" cmpd="sng" algn="ctr">
      <a:solidFill>
        <a:schemeClr val="bg2">
          <a:lumMod val="90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 project.xlsx]Spending trend!PivotTable1</c:name>
    <c:fmtId val="7"/>
  </c:pivotSource>
  <c:chart>
    <c:title>
      <c:tx>
        <c:rich>
          <a:bodyPr rot="0" spcFirstLastPara="1" vertOverflow="ellipsis" vert="horz" wrap="square" anchor="ctr" anchorCtr="1"/>
          <a:lstStyle/>
          <a:p>
            <a:pPr>
              <a:defRPr sz="1400" b="1" i="0" u="none" strike="noStrike" kern="1200" cap="all" spc="150" baseline="0">
                <a:solidFill>
                  <a:schemeClr val="accent1">
                    <a:lumMod val="50000"/>
                  </a:schemeClr>
                </a:solidFill>
                <a:latin typeface="+mn-lt"/>
                <a:ea typeface="+mn-ea"/>
                <a:cs typeface="+mn-cs"/>
              </a:defRPr>
            </a:pPr>
            <a:r>
              <a:rPr lang="en-US" sz="1400">
                <a:solidFill>
                  <a:schemeClr val="accent1">
                    <a:lumMod val="50000"/>
                  </a:schemeClr>
                </a:solidFill>
              </a:rPr>
              <a:t>Monthly</a:t>
            </a:r>
            <a:r>
              <a:rPr lang="en-US" sz="1400" baseline="0">
                <a:solidFill>
                  <a:schemeClr val="accent1">
                    <a:lumMod val="50000"/>
                  </a:schemeClr>
                </a:solidFill>
              </a:rPr>
              <a:t> spending vs budget</a:t>
            </a:r>
            <a:r>
              <a:rPr lang="en-US" sz="1400">
                <a:solidFill>
                  <a:schemeClr val="accent1">
                    <a:lumMod val="50000"/>
                  </a:schemeClr>
                </a:solidFill>
              </a:rPr>
              <a:t>  </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38100" cap="flat" cmpd="dbl" algn="ctr">
            <a:solidFill>
              <a:schemeClr val="accent6">
                <a:lumMod val="40000"/>
                <a:lumOff val="60000"/>
              </a:schemeClr>
            </a:solidFill>
            <a:miter lim="800000"/>
          </a:ln>
          <a:effectLst>
            <a:glow rad="63500">
              <a:schemeClr val="accent4">
                <a:satMod val="175000"/>
                <a:alpha val="40000"/>
              </a:schemeClr>
            </a:glow>
          </a:effectLst>
        </c:spPr>
        <c:marker>
          <c:symbol val="circle"/>
          <c:size val="6"/>
          <c:spPr>
            <a:solidFill>
              <a:schemeClr val="accent6">
                <a:lumMod val="20000"/>
                <a:lumOff val="80000"/>
              </a:schemeClr>
            </a:solidFill>
            <a:ln w="9525" cap="flat" cmpd="sng" algn="ctr">
              <a:solidFill>
                <a:schemeClr val="accent6">
                  <a:lumMod val="40000"/>
                  <a:lumOff val="60000"/>
                </a:schemeClr>
              </a:solidFill>
              <a:round/>
            </a:ln>
            <a:effectLst>
              <a:glow rad="63500">
                <a:schemeClr val="accent4">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w="38100" cap="flat" cmpd="dbl" algn="ctr">
            <a:solidFill>
              <a:schemeClr val="accent6">
                <a:lumMod val="40000"/>
                <a:lumOff val="60000"/>
              </a:schemeClr>
            </a:solidFill>
            <a:miter lim="800000"/>
          </a:ln>
          <a:effectLst>
            <a:glow rad="63500">
              <a:schemeClr val="accent4">
                <a:satMod val="175000"/>
                <a:alpha val="40000"/>
              </a:schemeClr>
            </a:glow>
          </a:effectLst>
        </c:spPr>
        <c:marker>
          <c:symbol val="circle"/>
          <c:size val="6"/>
          <c:spPr>
            <a:solidFill>
              <a:schemeClr val="accent6">
                <a:lumMod val="20000"/>
                <a:lumOff val="80000"/>
              </a:schemeClr>
            </a:solidFill>
            <a:ln w="9525" cap="flat" cmpd="sng" algn="ctr">
              <a:solidFill>
                <a:schemeClr val="accent6">
                  <a:lumMod val="40000"/>
                  <a:lumOff val="60000"/>
                </a:schemeClr>
              </a:solidFill>
              <a:round/>
            </a:ln>
            <a:effectLst>
              <a:glow rad="63500">
                <a:schemeClr val="accent4">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12700" cap="flat" cmpd="sng" algn="ctr">
            <a:solidFill>
              <a:schemeClr val="accent2"/>
            </a:solidFill>
            <a:prstDash val="solid"/>
            <a:miter lim="800000"/>
          </a:ln>
          <a:effectLst>
            <a:glow rad="63500">
              <a:schemeClr val="accent4">
                <a:satMod val="175000"/>
                <a:alpha val="40000"/>
              </a:schemeClr>
            </a:glow>
          </a:effectLst>
        </c:spPr>
        <c:marker>
          <c:symbol val="circle"/>
          <c:size val="6"/>
          <c:spPr>
            <a:solidFill>
              <a:schemeClr val="lt1"/>
            </a:solidFill>
            <a:ln w="12700" cap="flat" cmpd="sng" algn="ctr">
              <a:solidFill>
                <a:schemeClr val="accent2"/>
              </a:solidFill>
              <a:prstDash val="solid"/>
              <a:miter lim="800000"/>
            </a:ln>
            <a:effectLst>
              <a:glow rad="63500">
                <a:schemeClr val="accent4">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12700" cap="flat" cmpd="sng" algn="ctr">
            <a:solidFill>
              <a:schemeClr val="accent6"/>
            </a:solidFill>
            <a:prstDash val="solid"/>
            <a:miter lim="800000"/>
          </a:ln>
          <a:effectLst>
            <a:glow rad="63500">
              <a:schemeClr val="accent6">
                <a:satMod val="175000"/>
                <a:alpha val="40000"/>
              </a:schemeClr>
            </a:glow>
          </a:effectLst>
        </c:spPr>
        <c:marker>
          <c:symbol val="circle"/>
          <c:size val="6"/>
          <c:spPr>
            <a:solidFill>
              <a:schemeClr val="lt1"/>
            </a:solidFill>
            <a:ln w="12700" cap="flat" cmpd="sng" algn="ctr">
              <a:solidFill>
                <a:schemeClr val="accent6"/>
              </a:solidFill>
              <a:prstDash val="solid"/>
              <a:miter lim="800000"/>
            </a:ln>
            <a:effectLst>
              <a:glow rad="63500">
                <a:schemeClr val="accent6">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689223629655"/>
          <c:y val="0.19087926509186354"/>
          <c:w val="0.69177716915820309"/>
          <c:h val="0.65690113046892762"/>
        </c:manualLayout>
      </c:layout>
      <c:lineChart>
        <c:grouping val="standard"/>
        <c:varyColors val="0"/>
        <c:ser>
          <c:idx val="0"/>
          <c:order val="0"/>
          <c:tx>
            <c:strRef>
              <c:f>'Spending trend'!$C$3</c:f>
              <c:strCache>
                <c:ptCount val="1"/>
                <c:pt idx="0">
                  <c:v>Spending</c:v>
                </c:pt>
              </c:strCache>
            </c:strRef>
          </c:tx>
          <c:spPr>
            <a:ln w="12700" cap="flat" cmpd="sng" algn="ctr">
              <a:solidFill>
                <a:schemeClr val="accent2"/>
              </a:solidFill>
              <a:prstDash val="solid"/>
              <a:miter lim="800000"/>
            </a:ln>
            <a:effectLst>
              <a:glow rad="63500">
                <a:schemeClr val="accent4">
                  <a:satMod val="175000"/>
                  <a:alpha val="40000"/>
                </a:schemeClr>
              </a:glow>
            </a:effectLst>
          </c:spPr>
          <c:marker>
            <c:symbol val="circle"/>
            <c:size val="6"/>
            <c:spPr>
              <a:solidFill>
                <a:schemeClr val="lt1"/>
              </a:solidFill>
              <a:ln w="12700" cap="flat" cmpd="sng" algn="ctr">
                <a:solidFill>
                  <a:schemeClr val="accent2"/>
                </a:solidFill>
                <a:prstDash val="solid"/>
                <a:miter lim="800000"/>
              </a:ln>
              <a:effectLst>
                <a:glow rad="63500">
                  <a:schemeClr val="accent4">
                    <a:satMod val="175000"/>
                    <a:alpha val="40000"/>
                  </a:schemeClr>
                </a:glow>
              </a:effectLst>
            </c:spPr>
          </c:marker>
          <c:cat>
            <c:strRef>
              <c:f>'Spending trend'!$B$4:$B$16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'Spending trend'!$C$4:$C$16</c:f>
              <c:numCache>
                <c:formatCode>General</c:formatCode>
                <c:ptCount val="12"/>
                <c:pt idx="0">
                  <c:v>2218538.5299999998</c:v>
                </c:pt>
                <c:pt idx="1">
                  <c:v>1913378.16</c:v>
                </c:pt>
                <c:pt idx="2">
                  <c:v>2013884.48</c:v>
                </c:pt>
                <c:pt idx="3">
                  <c:v>2094503.63</c:v>
                </c:pt>
                <c:pt idx="4">
                  <c:v>2258902.64</c:v>
                </c:pt>
                <c:pt idx="5">
                  <c:v>2212738.56</c:v>
                </c:pt>
                <c:pt idx="6">
                  <c:v>1864627</c:v>
                </c:pt>
                <c:pt idx="7">
                  <c:v>2024370.6</c:v>
                </c:pt>
                <c:pt idx="8">
                  <c:v>2017012.44</c:v>
                </c:pt>
                <c:pt idx="9">
                  <c:v>2077462.59</c:v>
                </c:pt>
                <c:pt idx="10">
                  <c:v>2201157.84</c:v>
                </c:pt>
                <c:pt idx="11">
                  <c:v>2153887.4700000002</c:v>
                </c:pt>
              </c:numCache>
            </c:numRef>
          </c:val>
          <c:smooth val="0"/>
          <c:extLst>
            <c:ext xmlns:c16="http://schemas.microsoft.com/office/drawing/2014/chart" uri="{C3380CC4-5D6E-409C-BE32-E72D297353CC}">
              <c16:uniqueId val="{00000000-8CAE-40AA-A29B-E61233923624}"/>
            </c:ext>
          </c:extLst>
        </c:ser>
        <c:ser>
          <c:idx val="1"/>
          <c:order val="1"/>
          <c:tx>
            <c:strRef>
              <c:f>'Spending trend'!$D$3</c:f>
              <c:strCache>
                <c:ptCount val="1"/>
                <c:pt idx="0">
                  <c:v>Budget</c:v>
                </c:pt>
              </c:strCache>
            </c:strRef>
          </c:tx>
          <c:spPr>
            <a:ln w="12700" cap="flat" cmpd="sng" algn="ctr">
              <a:solidFill>
                <a:schemeClr val="accent6"/>
              </a:solidFill>
              <a:prstDash val="solid"/>
              <a:miter lim="800000"/>
            </a:ln>
            <a:effectLst>
              <a:glow rad="63500">
                <a:schemeClr val="accent6">
                  <a:satMod val="175000"/>
                  <a:alpha val="40000"/>
                </a:schemeClr>
              </a:glow>
            </a:effectLst>
          </c:spPr>
          <c:marker>
            <c:symbol val="circle"/>
            <c:size val="6"/>
            <c:spPr>
              <a:solidFill>
                <a:schemeClr val="lt1"/>
              </a:solidFill>
              <a:ln w="12700" cap="flat" cmpd="sng" algn="ctr">
                <a:solidFill>
                  <a:schemeClr val="accent6"/>
                </a:solidFill>
                <a:prstDash val="solid"/>
                <a:miter lim="800000"/>
              </a:ln>
              <a:effectLst>
                <a:glow rad="63500">
                  <a:schemeClr val="accent6">
                    <a:satMod val="175000"/>
                    <a:alpha val="40000"/>
                  </a:schemeClr>
                </a:glow>
              </a:effectLst>
            </c:spPr>
          </c:marker>
          <c:cat>
            <c:strRef>
              <c:f>'Spending trend'!$B$4:$B$16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'Spending trend'!$D$4:$D$16</c:f>
              <c:numCache>
                <c:formatCode>General</c:formatCode>
                <c:ptCount val="12"/>
                <c:pt idx="0">
                  <c:v>215000</c:v>
                </c:pt>
                <c:pt idx="1">
                  <c:v>215000</c:v>
                </c:pt>
                <c:pt idx="2">
                  <c:v>215000</c:v>
                </c:pt>
                <c:pt idx="3">
                  <c:v>215000</c:v>
                </c:pt>
                <c:pt idx="4">
                  <c:v>215000</c:v>
                </c:pt>
                <c:pt idx="5">
                  <c:v>215000</c:v>
                </c:pt>
                <c:pt idx="6">
                  <c:v>215000</c:v>
                </c:pt>
                <c:pt idx="7">
                  <c:v>215000</c:v>
                </c:pt>
                <c:pt idx="8">
                  <c:v>215000</c:v>
                </c:pt>
                <c:pt idx="9">
                  <c:v>215000</c:v>
                </c:pt>
                <c:pt idx="10">
                  <c:v>215000</c:v>
                </c:pt>
                <c:pt idx="11">
                  <c:v>215000</c:v>
                </c:pt>
              </c:numCache>
            </c:numRef>
          </c:val>
          <c:smooth val="0"/>
          <c:extLst>
            <c:ext xmlns:c16="http://schemas.microsoft.com/office/drawing/2014/chart" uri="{C3380CC4-5D6E-409C-BE32-E72D297353CC}">
              <c16:uniqueId val="{00000001-55C8-4D99-9CBC-D043958F293E}"/>
            </c:ext>
          </c:extLst>
        </c:ser>
        <c:dLbls>
          <c:showLegendKey val="0"/>
          <c:showVal val="0"/>
          <c:showCatName val="0"/>
          <c:showSerName val="0"/>
          <c:showPercent val="0"/>
          <c:showBubbleSize val="0"/>
        </c:dLbls>
        <c:marker val="1"/>
        <c:smooth val="0"/>
        <c:axId val="1765908912"/>
        <c:axId val="1765903920"/>
      </c:lineChart>
      <c:catAx>
        <c:axId val="176590891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65903920"/>
        <c:crosses val="autoZero"/>
        <c:auto val="1"/>
        <c:lblAlgn val="ctr"/>
        <c:lblOffset val="100"/>
        <c:noMultiLvlLbl val="0"/>
      </c:catAx>
      <c:valAx>
        <c:axId val="1765903920"/>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65908912"/>
        <c:crosses val="autoZero"/>
        <c:crossBetween val="between"/>
      </c:valAx>
      <c:spPr>
        <a:noFill/>
        <a:ln>
          <a:noFill/>
        </a:ln>
        <a:effectLst>
          <a:glow rad="63500">
            <a:schemeClr val="accent2">
              <a:satMod val="175000"/>
              <a:alpha val="40000"/>
            </a:schemeClr>
          </a:glow>
        </a:effectLst>
      </c:spPr>
    </c:plotArea>
    <c:legend>
      <c:legendPos val="r"/>
      <c:layout>
        <c:manualLayout>
          <c:xMode val="edge"/>
          <c:yMode val="edge"/>
          <c:x val="0.80872284986115861"/>
          <c:y val="0.29968214524515235"/>
          <c:w val="0.17706360074555896"/>
          <c:h val="0.39131962116902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3175" cap="flat" cmpd="sng" algn="ctr">
      <a:solidFill>
        <a:schemeClr val="bg2">
          <a:lumMod val="90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 project.xlsx]Spending trend!PivotTable1</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Monthly</a:t>
            </a:r>
            <a:r>
              <a:rPr lang="en-US" baseline="0"/>
              <a:t> spending Vs Budget trend</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6">
                <a:lumMod val="40000"/>
                <a:lumOff val="60000"/>
              </a:schemeClr>
            </a:solidFill>
            <a:miter lim="800000"/>
          </a:ln>
          <a:effectLst>
            <a:glow rad="63500">
              <a:schemeClr val="accent4">
                <a:satMod val="175000"/>
                <a:alpha val="40000"/>
              </a:schemeClr>
            </a:glow>
          </a:effectLst>
        </c:spPr>
        <c:marker>
          <c:symbol val="circle"/>
          <c:size val="6"/>
          <c:spPr>
            <a:solidFill>
              <a:schemeClr val="accent6">
                <a:lumMod val="20000"/>
                <a:lumOff val="80000"/>
              </a:schemeClr>
            </a:solidFill>
            <a:ln w="9525" cap="flat" cmpd="sng" algn="ctr">
              <a:solidFill>
                <a:schemeClr val="accent6">
                  <a:lumMod val="40000"/>
                  <a:lumOff val="60000"/>
                </a:schemeClr>
              </a:solidFill>
              <a:round/>
            </a:ln>
            <a:effectLst>
              <a:glow rad="63500">
                <a:schemeClr val="accent4">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38100" cap="flat" cmpd="dbl" algn="ctr">
            <a:solidFill>
              <a:schemeClr val="accent4"/>
            </a:solidFill>
            <a:miter lim="800000"/>
          </a:ln>
          <a:effectLst/>
        </c:spPr>
        <c:marker>
          <c:symbol val="circle"/>
          <c:size val="6"/>
          <c:spPr>
            <a:solidFill>
              <a:schemeClr val="accent4">
                <a:tint val="77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'Spending trend'!$C$3</c:f>
              <c:strCache>
                <c:ptCount val="1"/>
                <c:pt idx="0">
                  <c:v>Spending</c:v>
                </c:pt>
              </c:strCache>
            </c:strRef>
          </c:tx>
          <c:spPr>
            <a:ln w="38100" cap="flat" cmpd="dbl" algn="ctr">
              <a:solidFill>
                <a:schemeClr val="accent6">
                  <a:lumMod val="40000"/>
                  <a:lumOff val="60000"/>
                </a:schemeClr>
              </a:solidFill>
              <a:miter lim="800000"/>
            </a:ln>
            <a:effectLst>
              <a:glow rad="63500">
                <a:schemeClr val="accent4">
                  <a:satMod val="175000"/>
                  <a:alpha val="40000"/>
                </a:schemeClr>
              </a:glow>
            </a:effectLst>
          </c:spPr>
          <c:marker>
            <c:symbol val="circle"/>
            <c:size val="6"/>
            <c:spPr>
              <a:solidFill>
                <a:schemeClr val="accent6">
                  <a:lumMod val="20000"/>
                  <a:lumOff val="80000"/>
                </a:schemeClr>
              </a:solidFill>
              <a:ln w="9525" cap="flat" cmpd="sng" algn="ctr">
                <a:solidFill>
                  <a:schemeClr val="accent6">
                    <a:lumMod val="40000"/>
                    <a:lumOff val="60000"/>
                  </a:schemeClr>
                </a:solidFill>
                <a:round/>
              </a:ln>
              <a:effectLst>
                <a:glow rad="63500">
                  <a:schemeClr val="accent4">
                    <a:satMod val="175000"/>
                    <a:alpha val="40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'Spending trend'!$B$4:$B$16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'Spending trend'!$C$4:$C$16</c:f>
              <c:numCache>
                <c:formatCode>General</c:formatCode>
                <c:ptCount val="12"/>
                <c:pt idx="0">
                  <c:v>2218538.5299999998</c:v>
                </c:pt>
                <c:pt idx="1">
                  <c:v>1913378.16</c:v>
                </c:pt>
                <c:pt idx="2">
                  <c:v>2013884.48</c:v>
                </c:pt>
                <c:pt idx="3">
                  <c:v>2094503.63</c:v>
                </c:pt>
                <c:pt idx="4">
                  <c:v>2258902.64</c:v>
                </c:pt>
                <c:pt idx="5">
                  <c:v>2212738.56</c:v>
                </c:pt>
                <c:pt idx="6">
                  <c:v>1864627</c:v>
                </c:pt>
                <c:pt idx="7">
                  <c:v>2024370.6</c:v>
                </c:pt>
                <c:pt idx="8">
                  <c:v>2017012.44</c:v>
                </c:pt>
                <c:pt idx="9">
                  <c:v>2077462.59</c:v>
                </c:pt>
                <c:pt idx="10">
                  <c:v>2201157.84</c:v>
                </c:pt>
                <c:pt idx="11">
                  <c:v>2153887.4700000002</c:v>
                </c:pt>
              </c:numCache>
            </c:numRef>
          </c:val>
          <c:smooth val="0"/>
          <c:extLst>
            <c:ext xmlns:c16="http://schemas.microsoft.com/office/drawing/2014/chart" uri="{C3380CC4-5D6E-409C-BE32-E72D297353CC}">
              <c16:uniqueId val="{00000000-B3AD-400A-828D-43FD40C70473}"/>
            </c:ext>
          </c:extLst>
        </c:ser>
        <c:ser>
          <c:idx val="1"/>
          <c:order val="1"/>
          <c:tx>
            <c:strRef>
              <c:f>'Spending trend'!$D$3</c:f>
              <c:strCache>
                <c:ptCount val="1"/>
                <c:pt idx="0">
                  <c:v>Budget</c:v>
                </c:pt>
              </c:strCache>
            </c:strRef>
          </c:tx>
          <c:spPr>
            <a:ln w="38100" cap="flat" cmpd="dbl" algn="ctr">
              <a:solidFill>
                <a:schemeClr val="accent4">
                  <a:tint val="77000"/>
                </a:schemeClr>
              </a:solidFill>
              <a:miter lim="800000"/>
            </a:ln>
            <a:effectLst/>
          </c:spPr>
          <c:marker>
            <c:symbol val="circle"/>
            <c:size val="6"/>
            <c:spPr>
              <a:solidFill>
                <a:schemeClr val="accent4">
                  <a:tint val="77000"/>
                </a:schemeClr>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'Spending trend'!$B$4:$B$16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'Spending trend'!$D$4:$D$16</c:f>
              <c:numCache>
                <c:formatCode>General</c:formatCode>
                <c:ptCount val="12"/>
                <c:pt idx="0">
                  <c:v>215000</c:v>
                </c:pt>
                <c:pt idx="1">
                  <c:v>215000</c:v>
                </c:pt>
                <c:pt idx="2">
                  <c:v>215000</c:v>
                </c:pt>
                <c:pt idx="3">
                  <c:v>215000</c:v>
                </c:pt>
                <c:pt idx="4">
                  <c:v>215000</c:v>
                </c:pt>
                <c:pt idx="5">
                  <c:v>215000</c:v>
                </c:pt>
                <c:pt idx="6">
                  <c:v>215000</c:v>
                </c:pt>
                <c:pt idx="7">
                  <c:v>215000</c:v>
                </c:pt>
                <c:pt idx="8">
                  <c:v>215000</c:v>
                </c:pt>
                <c:pt idx="9">
                  <c:v>215000</c:v>
                </c:pt>
                <c:pt idx="10">
                  <c:v>215000</c:v>
                </c:pt>
                <c:pt idx="11">
                  <c:v>215000</c:v>
                </c:pt>
              </c:numCache>
            </c:numRef>
          </c:val>
          <c:smooth val="0"/>
          <c:extLst>
            <c:ext xmlns:c16="http://schemas.microsoft.com/office/drawing/2014/chart" uri="{C3380CC4-5D6E-409C-BE32-E72D297353CC}">
              <c16:uniqueId val="{00000001-026E-4FBB-9465-28D93D8A8CDE}"/>
            </c:ext>
          </c:extLst>
        </c:ser>
        <c:dLbls>
          <c:dLblPos val="t"/>
          <c:showLegendKey val="0"/>
          <c:showVal val="1"/>
          <c:showCatName val="0"/>
          <c:showSerName val="0"/>
          <c:showPercent val="0"/>
          <c:showBubbleSize val="0"/>
        </c:dLbls>
        <c:marker val="1"/>
        <c:smooth val="0"/>
        <c:axId val="1765908912"/>
        <c:axId val="1765903920"/>
      </c:lineChart>
      <c:catAx>
        <c:axId val="176590891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903920"/>
        <c:crosses val="autoZero"/>
        <c:auto val="1"/>
        <c:lblAlgn val="ctr"/>
        <c:lblOffset val="100"/>
        <c:noMultiLvlLbl val="0"/>
      </c:catAx>
      <c:valAx>
        <c:axId val="1765903920"/>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908912"/>
        <c:crosses val="autoZero"/>
        <c:crossBetween val="between"/>
      </c:valAx>
      <c:spPr>
        <a:noFill/>
        <a:ln>
          <a:noFill/>
        </a:ln>
        <a:effectLst>
          <a:glow rad="63500">
            <a:schemeClr val="accent2">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project.xlsx]spending vs budget!PivotTable1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Annual spending</a:t>
            </a:r>
            <a:r>
              <a:rPr lang="en-US" baseline="0"/>
              <a:t> vs budget</a:t>
            </a:r>
            <a:r>
              <a:rPr lang="en-US"/>
              <a:t>:</a:t>
            </a:r>
            <a:r>
              <a:rPr lang="en-US" baseline="0"/>
              <a:t> Across</a:t>
            </a:r>
            <a:r>
              <a:rPr lang="en-US"/>
              <a:t> countries and categories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'spending vs budget'!$C$3</c:f>
              <c:strCache>
                <c:ptCount val="1"/>
                <c:pt idx="0">
                  <c:v>Actual spending </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'spending vs budget'!$B$4:$B$19</c:f>
              <c:multiLvlStrCache>
                <c:ptCount val="12"/>
                <c:lvl>
                  <c:pt idx="0">
                    <c:v>Rent</c:v>
                  </c:pt>
                  <c:pt idx="1">
                    <c:v>Salary</c:v>
                  </c:pt>
                  <c:pt idx="2">
                    <c:v>Software</c:v>
                  </c:pt>
                  <c:pt idx="3">
                    <c:v>Travel</c:v>
                  </c:pt>
                  <c:pt idx="4">
                    <c:v>Rent</c:v>
                  </c:pt>
                  <c:pt idx="5">
                    <c:v>Salary</c:v>
                  </c:pt>
                  <c:pt idx="6">
                    <c:v>Software</c:v>
                  </c:pt>
                  <c:pt idx="7">
                    <c:v>Travel</c:v>
                  </c:pt>
                  <c:pt idx="8">
                    <c:v>Rent</c:v>
                  </c:pt>
                  <c:pt idx="9">
                    <c:v>Salary</c:v>
                  </c:pt>
                  <c:pt idx="10">
                    <c:v>Software</c:v>
                  </c:pt>
                  <c:pt idx="11">
                    <c:v>Travel</c:v>
                  </c:pt>
                </c:lvl>
                <c:lvl>
                  <c:pt idx="0">
                    <c:v>Germany</c:v>
                  </c:pt>
                  <c:pt idx="4">
                    <c:v>India</c:v>
                  </c:pt>
                  <c:pt idx="8">
                    <c:v>USA</c:v>
                  </c:pt>
                </c:lvl>
              </c:multiLvlStrCache>
            </c:multiLvlStrRef>
          </c:cat>
          <c:val>
            <c:numRef>
              <c:f>'spending vs budget'!$C$4:$C$19</c:f>
              <c:numCache>
                <c:formatCode>General</c:formatCode>
                <c:ptCount val="12"/>
                <c:pt idx="0">
                  <c:v>1182413.3700000001</c:v>
                </c:pt>
                <c:pt idx="1">
                  <c:v>3681633.23</c:v>
                </c:pt>
                <c:pt idx="2">
                  <c:v>1820858.83</c:v>
                </c:pt>
                <c:pt idx="3">
                  <c:v>2261098.84</c:v>
                </c:pt>
                <c:pt idx="4">
                  <c:v>935779.94</c:v>
                </c:pt>
                <c:pt idx="5">
                  <c:v>2646440.64</c:v>
                </c:pt>
                <c:pt idx="6">
                  <c:v>1301134.03</c:v>
                </c:pt>
                <c:pt idx="7">
                  <c:v>1294164.02</c:v>
                </c:pt>
                <c:pt idx="8">
                  <c:v>1435202.62</c:v>
                </c:pt>
                <c:pt idx="9">
                  <c:v>4002252.46</c:v>
                </c:pt>
                <c:pt idx="10">
                  <c:v>2032553.37</c:v>
                </c:pt>
                <c:pt idx="11">
                  <c:v>2456932.59</c:v>
                </c:pt>
              </c:numCache>
            </c:numRef>
          </c:val>
          <c:extLst>
            <c:ext xmlns:c16="http://schemas.microsoft.com/office/drawing/2014/chart" uri="{C3380CC4-5D6E-409C-BE32-E72D297353CC}">
              <c16:uniqueId val="{00000000-8BE9-45B8-83C9-F70468DF0B2E}"/>
            </c:ext>
          </c:extLst>
        </c:ser>
        <c:ser>
          <c:idx val="1"/>
          <c:order val="1"/>
          <c:tx>
            <c:strRef>
              <c:f>'spending vs budget'!$D$3</c:f>
              <c:strCache>
                <c:ptCount val="1"/>
                <c:pt idx="0">
                  <c:v>Annual Budget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multiLvlStrRef>
              <c:f>'spending vs budget'!$B$4:$B$19</c:f>
              <c:multiLvlStrCache>
                <c:ptCount val="12"/>
                <c:lvl>
                  <c:pt idx="0">
                    <c:v>Rent</c:v>
                  </c:pt>
                  <c:pt idx="1">
                    <c:v>Salary</c:v>
                  </c:pt>
                  <c:pt idx="2">
                    <c:v>Software</c:v>
                  </c:pt>
                  <c:pt idx="3">
                    <c:v>Travel</c:v>
                  </c:pt>
                  <c:pt idx="4">
                    <c:v>Rent</c:v>
                  </c:pt>
                  <c:pt idx="5">
                    <c:v>Salary</c:v>
                  </c:pt>
                  <c:pt idx="6">
                    <c:v>Software</c:v>
                  </c:pt>
                  <c:pt idx="7">
                    <c:v>Travel</c:v>
                  </c:pt>
                  <c:pt idx="8">
                    <c:v>Rent</c:v>
                  </c:pt>
                  <c:pt idx="9">
                    <c:v>Salary</c:v>
                  </c:pt>
                  <c:pt idx="10">
                    <c:v>Software</c:v>
                  </c:pt>
                  <c:pt idx="11">
                    <c:v>Travel</c:v>
                  </c:pt>
                </c:lvl>
                <c:lvl>
                  <c:pt idx="0">
                    <c:v>Germany</c:v>
                  </c:pt>
                  <c:pt idx="4">
                    <c:v>India</c:v>
                  </c:pt>
                  <c:pt idx="8">
                    <c:v>USA</c:v>
                  </c:pt>
                </c:lvl>
              </c:multiLvlStrCache>
            </c:multiLvlStrRef>
          </c:cat>
          <c:val>
            <c:numRef>
              <c:f>'spending vs budget'!$D$4:$D$19</c:f>
              <c:numCache>
                <c:formatCode>General</c:formatCode>
                <c:ptCount val="12"/>
                <c:pt idx="0">
                  <c:v>480000</c:v>
                </c:pt>
                <c:pt idx="1">
                  <c:v>1440000</c:v>
                </c:pt>
                <c:pt idx="2">
                  <c:v>300000</c:v>
                </c:pt>
                <c:pt idx="3">
                  <c:v>360000</c:v>
                </c:pt>
                <c:pt idx="4">
                  <c:v>480000</c:v>
                </c:pt>
                <c:pt idx="5">
                  <c:v>1440000</c:v>
                </c:pt>
                <c:pt idx="6">
                  <c:v>300000</c:v>
                </c:pt>
                <c:pt idx="7">
                  <c:v>360000</c:v>
                </c:pt>
                <c:pt idx="8">
                  <c:v>480000</c:v>
                </c:pt>
                <c:pt idx="9">
                  <c:v>1440000</c:v>
                </c:pt>
                <c:pt idx="10">
                  <c:v>300000</c:v>
                </c:pt>
                <c:pt idx="11">
                  <c:v>360000</c:v>
                </c:pt>
              </c:numCache>
            </c:numRef>
          </c:val>
          <c:extLst>
            <c:ext xmlns:c16="http://schemas.microsoft.com/office/drawing/2014/chart" uri="{C3380CC4-5D6E-409C-BE32-E72D297353CC}">
              <c16:uniqueId val="{00000003-8BE9-45B8-83C9-F70468DF0B2E}"/>
            </c:ext>
          </c:extLst>
        </c:ser>
        <c:dLbls>
          <c:showLegendKey val="0"/>
          <c:showVal val="0"/>
          <c:showCatName val="0"/>
          <c:showSerName val="0"/>
          <c:showPercent val="0"/>
          <c:showBubbleSize val="0"/>
        </c:dLbls>
        <c:gapWidth val="164"/>
        <c:overlap val="-22"/>
        <c:axId val="1765908912"/>
        <c:axId val="1765903920"/>
      </c:barChart>
      <c:catAx>
        <c:axId val="17659089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903920"/>
        <c:crosses val="autoZero"/>
        <c:auto val="1"/>
        <c:lblAlgn val="ctr"/>
        <c:lblOffset val="100"/>
        <c:noMultiLvlLbl val="0"/>
      </c:catAx>
      <c:valAx>
        <c:axId val="176590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90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 project.xlsx]Spending by category!PivotTable1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Spending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'Spending by category'!$C$3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'Spending by category'!$B$4:$B$8</c:f>
              <c:strCache>
                <c:ptCount val="4"/>
                <c:pt idx="0">
                  <c:v>Rent</c:v>
                </c:pt>
                <c:pt idx="1">
                  <c:v>Software</c:v>
                </c:pt>
                <c:pt idx="2">
                  <c:v>Travel</c:v>
                </c:pt>
                <c:pt idx="3">
                  <c:v>Salary</c:v>
                </c:pt>
              </c:strCache>
            </c:strRef>
          </c:cat>
          <c:val>
            <c:numRef>
              <c:f>'Spending by category'!$C$4:$C$8</c:f>
              <c:numCache>
                <c:formatCode>_(* #,##0_);_(* \(#,##0\);_(* "-"??_);_(@_)</c:formatCode>
                <c:ptCount val="4"/>
                <c:pt idx="0">
                  <c:v>3553395.93</c:v>
                </c:pt>
                <c:pt idx="1">
                  <c:v>5154546.2300000004</c:v>
                </c:pt>
                <c:pt idx="2">
                  <c:v>6012195.4500000002</c:v>
                </c:pt>
                <c:pt idx="3">
                  <c:v>10330326.33</c:v>
                </c:pt>
              </c:numCache>
            </c:numRef>
          </c:val>
          <c:extLst>
            <c:ext xmlns:c16="http://schemas.microsoft.com/office/drawing/2014/chart" uri="{C3380CC4-5D6E-409C-BE32-E72D297353CC}">
              <c16:uniqueId val="{00000000-B742-44BB-BC12-A531B9BEF517}"/>
            </c:ext>
          </c:extLst>
        </c:ser>
        <c:dLbls>
          <c:dLblPos val="ctr"/>
          <c:showLegendKey val="0"/>
          <c:showVal val="1"/>
          <c:showCatName val="0"/>
          <c:showSerName val="0"/>
          <c:showPercent val="0"/>
          <c:showBubbleSize val="0"/>
        </c:dLbls>
        <c:gapWidth val="115"/>
        <c:overlap val="-20"/>
        <c:axId val="1765908912"/>
        <c:axId val="1765903920"/>
      </c:barChart>
      <c:catAx>
        <c:axId val="17659089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903920"/>
        <c:crosses val="autoZero"/>
        <c:auto val="1"/>
        <c:lblAlgn val="ctr"/>
        <c:lblOffset val="100"/>
        <c:noMultiLvlLbl val="0"/>
      </c:catAx>
      <c:valAx>
        <c:axId val="176590392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90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project.xlsx]spending by region!PivotTable1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Region wise spend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'spending by region'!$C$3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BE8-42E3-927A-378BE309C471}"/>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BE8-42E3-927A-378BE309C471}"/>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BE8-42E3-927A-378BE309C4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'spending by region'!$B$4:$B$7</c:f>
              <c:strCache>
                <c:ptCount val="3"/>
                <c:pt idx="0">
                  <c:v>APAC</c:v>
                </c:pt>
                <c:pt idx="1">
                  <c:v>EMEA</c:v>
                </c:pt>
                <c:pt idx="2">
                  <c:v>North America</c:v>
                </c:pt>
              </c:strCache>
            </c:strRef>
          </c:cat>
          <c:val>
            <c:numRef>
              <c:f>'spending by region'!$C$4:$C$7</c:f>
              <c:numCache>
                <c:formatCode>General</c:formatCode>
                <c:ptCount val="3"/>
                <c:pt idx="0">
                  <c:v>6177518.6299999999</c:v>
                </c:pt>
                <c:pt idx="1">
                  <c:v>8946004.2699999996</c:v>
                </c:pt>
                <c:pt idx="2">
                  <c:v>9926941.0399999991</c:v>
                </c:pt>
              </c:numCache>
            </c:numRef>
          </c:val>
          <c:extLst>
            <c:ext xmlns:c16="http://schemas.microsoft.com/office/drawing/2014/chart" uri="{C3380CC4-5D6E-409C-BE32-E72D297353CC}">
              <c16:uniqueId val="{00000000-5B79-4F53-A9A1-7900EF640D8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30480</xdr:rowOff>
    </xdr:from>
    <xdr:to>
      <xdr:col>23</xdr:col>
      <xdr:colOff>114300</xdr:colOff>
      <xdr:row>2</xdr:row>
      <xdr:rowOff>22860</xdr:rowOff>
    </xdr:to>
    <xdr:sp macro="" textlink="">
      <xdr:nvSpPr>
        <xdr:cNvPr id="2" name="Rectangle 1">
          <a:extLst>
            <a:ext uri="{FF2B5EF4-FFF2-40B4-BE49-F238E27FC236}">
              <a16:creationId xmlns:a16="http://schemas.microsoft.com/office/drawing/2014/main" id="{790C5489-334C-4D7B-9D19-024FF5743AEA}"/>
            </a:ext>
          </a:extLst>
        </xdr:cNvPr>
        <xdr:cNvSpPr/>
      </xdr:nvSpPr>
      <xdr:spPr>
        <a:xfrm>
          <a:off x="38100" y="30480"/>
          <a:ext cx="14097000" cy="358140"/>
        </a:xfrm>
        <a:prstGeom prst="rect">
          <a:avLst/>
        </a:prstGeom>
      </xdr:spPr>
      <xdr:style>
        <a:lnRef idx="2">
          <a:schemeClr val="accent1">
            <a:shade val="50000"/>
          </a:schemeClr>
        </a:lnRef>
        <a:fillRef idx="1003">
          <a:schemeClr val="dk2"/>
        </a:fillRef>
        <a:effectRef idx="0">
          <a:schemeClr val="accent1"/>
        </a:effectRef>
        <a:fontRef idx="minor">
          <a:schemeClr val="lt1"/>
        </a:fontRef>
      </xdr:style>
      <xdr:txBody>
        <a:bodyPr vertOverflow="clip" horzOverflow="clip" rtlCol="0" anchor="ctr"/>
        <a:lstStyle/>
        <a:p>
          <a:pPr algn="ctr"/>
          <a:r>
            <a:rPr lang="en-US" sz="1800" b="1" cap="none" spc="50">
              <a:ln w="9525" cmpd="sng">
                <a:solidFill>
                  <a:schemeClr val="accent1"/>
                </a:solidFill>
                <a:prstDash val="solid"/>
              </a:ln>
              <a:solidFill>
                <a:srgbClr val="70AD47">
                  <a:tint val="1000"/>
                </a:srgbClr>
              </a:solidFill>
              <a:effectLst>
                <a:glow rad="38100">
                  <a:schemeClr val="accent1">
                    <a:alpha val="40000"/>
                  </a:schemeClr>
                </a:glow>
              </a:effectLst>
            </a:rPr>
            <a:t>Global Operating Expense (OpEx) Performance Tracker</a:t>
          </a:r>
        </a:p>
      </xdr:txBody>
    </xdr:sp>
    <xdr:clientData/>
  </xdr:twoCellAnchor>
  <xdr:twoCellAnchor>
    <xdr:from>
      <xdr:col>9</xdr:col>
      <xdr:colOff>7620</xdr:colOff>
      <xdr:row>5</xdr:row>
      <xdr:rowOff>106680</xdr:rowOff>
    </xdr:from>
    <xdr:to>
      <xdr:col>16</xdr:col>
      <xdr:colOff>30480</xdr:colOff>
      <xdr:row>16</xdr:row>
      <xdr:rowOff>53340</xdr:rowOff>
    </xdr:to>
    <xdr:graphicFrame macro="">
      <xdr:nvGraphicFramePr>
        <xdr:cNvPr id="3" name="Chart 2">
          <a:extLst>
            <a:ext uri="{FF2B5EF4-FFF2-40B4-BE49-F238E27FC236}">
              <a16:creationId xmlns:a16="http://schemas.microsoft.com/office/drawing/2014/main" id="{A8B2DD9B-3274-45D8-AA8F-8BBC7F4FB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16</xdr:row>
      <xdr:rowOff>129540</xdr:rowOff>
    </xdr:from>
    <xdr:to>
      <xdr:col>16</xdr:col>
      <xdr:colOff>38100</xdr:colOff>
      <xdr:row>28</xdr:row>
      <xdr:rowOff>30480</xdr:rowOff>
    </xdr:to>
    <xdr:graphicFrame macro="">
      <xdr:nvGraphicFramePr>
        <xdr:cNvPr id="4" name="Chart 3">
          <a:extLst>
            <a:ext uri="{FF2B5EF4-FFF2-40B4-BE49-F238E27FC236}">
              <a16:creationId xmlns:a16="http://schemas.microsoft.com/office/drawing/2014/main" id="{3B5DE2C8-73EB-4B7C-8A45-D9216DAA8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121920</xdr:colOff>
      <xdr:row>16</xdr:row>
      <xdr:rowOff>114300</xdr:rowOff>
    </xdr:from>
    <xdr:to>
      <xdr:col>8</xdr:col>
      <xdr:colOff>487680</xdr:colOff>
      <xdr:row>28</xdr:row>
      <xdr:rowOff>38100</xdr:rowOff>
    </xdr:to>
    <xdr:graphicFrame macro="">
      <xdr:nvGraphicFramePr>
        <xdr:cNvPr id="5" name="Chart 4">
          <a:extLst>
            <a:ext uri="{FF2B5EF4-FFF2-40B4-BE49-F238E27FC236}">
              <a16:creationId xmlns:a16="http://schemas.microsoft.com/office/drawing/2014/main" id="{F986DA4C-AF7F-4689-A5B4-B99EE37BD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121920</xdr:colOff>
      <xdr:row>5</xdr:row>
      <xdr:rowOff>106680</xdr:rowOff>
    </xdr:from>
    <xdr:to>
      <xdr:col>8</xdr:col>
      <xdr:colOff>502920</xdr:colOff>
      <xdr:row>16</xdr:row>
      <xdr:rowOff>30480</xdr:rowOff>
    </xdr:to>
    <xdr:graphicFrame macro="">
      <xdr:nvGraphicFramePr>
        <xdr:cNvPr id="6" name="Chart 5">
          <a:extLst>
            <a:ext uri="{FF2B5EF4-FFF2-40B4-BE49-F238E27FC236}">
              <a16:creationId xmlns:a16="http://schemas.microsoft.com/office/drawing/2014/main" id="{47163943-21F2-4E17-BD38-7AB7D0738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137160</xdr:colOff>
      <xdr:row>3</xdr:row>
      <xdr:rowOff>167640</xdr:rowOff>
    </xdr:from>
    <xdr:to>
      <xdr:col>3</xdr:col>
      <xdr:colOff>449580</xdr:colOff>
      <xdr:row>5</xdr:row>
      <xdr:rowOff>30480</xdr:rowOff>
    </xdr:to>
    <xdr:sp macro="" textlink="">
      <xdr:nvSpPr>
        <xdr:cNvPr id="8" name="Rectangle 7">
          <a:extLst>
            <a:ext uri="{FF2B5EF4-FFF2-40B4-BE49-F238E27FC236}">
              <a16:creationId xmlns:a16="http://schemas.microsoft.com/office/drawing/2014/main" id="{1F3D0DCC-2FB6-4031-B610-6ED234BB118F}"/>
            </a:ext>
          </a:extLst>
        </xdr:cNvPr>
        <xdr:cNvSpPr/>
      </xdr:nvSpPr>
      <xdr:spPr>
        <a:xfrm>
          <a:off x="137160" y="716280"/>
          <a:ext cx="2141220" cy="228600"/>
        </a:xfrm>
        <a:prstGeom prst="rect">
          <a:avLst/>
        </a:prstGeom>
        <a:ln w="6350">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r>
            <a:rPr lang="en-US" sz="1100"/>
            <a:t>Total spend</a:t>
          </a:r>
        </a:p>
        <a:p>
          <a:pPr algn="l"/>
          <a:endParaRPr lang="en-US" sz="1100"/>
        </a:p>
      </xdr:txBody>
    </xdr:sp>
    <xdr:clientData/>
  </xdr:twoCellAnchor>
  <xdr:twoCellAnchor>
    <xdr:from>
      <xdr:col>0</xdr:col>
      <xdr:colOff>137160</xdr:colOff>
      <xdr:row>2</xdr:row>
      <xdr:rowOff>76200</xdr:rowOff>
    </xdr:from>
    <xdr:to>
      <xdr:col>3</xdr:col>
      <xdr:colOff>457200</xdr:colOff>
      <xdr:row>3</xdr:row>
      <xdr:rowOff>175260</xdr:rowOff>
    </xdr:to>
    <xdr:sp macro="" textlink="'KPI total spend'!B4">
      <xdr:nvSpPr>
        <xdr:cNvPr id="13" name="Rectangle 12">
          <a:extLst>
            <a:ext uri="{FF2B5EF4-FFF2-40B4-BE49-F238E27FC236}">
              <a16:creationId xmlns:a16="http://schemas.microsoft.com/office/drawing/2014/main" id="{A4438495-9323-49C3-A6BD-EFB78501930B}"/>
            </a:ext>
          </a:extLst>
        </xdr:cNvPr>
        <xdr:cNvSpPr/>
      </xdr:nvSpPr>
      <xdr:spPr>
        <a:xfrm>
          <a:off x="137160" y="441960"/>
          <a:ext cx="2148840" cy="28194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1A87DE0B-A688-436F-9E9B-8CEA45949BAF}" type="TxLink">
            <a:rPr lang="en-US" sz="1600" b="0" i="0" u="none" strike="noStrike">
              <a:solidFill>
                <a:srgbClr val="000000"/>
              </a:solidFill>
              <a:latin typeface="Calibri"/>
              <a:cs typeface="Calibri"/>
            </a:rPr>
            <a:pPr algn="ctr"/>
            <a:t> 25,050,464 </a:t>
          </a:fld>
          <a:endParaRPr lang="en-US" sz="1600"/>
        </a:p>
      </xdr:txBody>
    </xdr:sp>
    <xdr:clientData/>
  </xdr:twoCellAnchor>
  <xdr:twoCellAnchor>
    <xdr:from>
      <xdr:col>4</xdr:col>
      <xdr:colOff>167640</xdr:colOff>
      <xdr:row>4</xdr:row>
      <xdr:rowOff>7620</xdr:rowOff>
    </xdr:from>
    <xdr:to>
      <xdr:col>7</xdr:col>
      <xdr:colOff>480060</xdr:colOff>
      <xdr:row>5</xdr:row>
      <xdr:rowOff>53340</xdr:rowOff>
    </xdr:to>
    <xdr:sp macro="" textlink="">
      <xdr:nvSpPr>
        <xdr:cNvPr id="14" name="Rectangle 13">
          <a:extLst>
            <a:ext uri="{FF2B5EF4-FFF2-40B4-BE49-F238E27FC236}">
              <a16:creationId xmlns:a16="http://schemas.microsoft.com/office/drawing/2014/main" id="{30BC8F0B-31C6-4BF0-AB62-C6926631DF25}"/>
            </a:ext>
          </a:extLst>
        </xdr:cNvPr>
        <xdr:cNvSpPr/>
      </xdr:nvSpPr>
      <xdr:spPr>
        <a:xfrm>
          <a:off x="2606040" y="739140"/>
          <a:ext cx="2141220" cy="228600"/>
        </a:xfrm>
        <a:prstGeom prst="rect">
          <a:avLst/>
        </a:prstGeom>
        <a:ln w="6350">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r>
            <a:rPr lang="en-US" sz="1100"/>
            <a:t>Total</a:t>
          </a:r>
          <a:r>
            <a:rPr lang="en-US" sz="1100" baseline="0"/>
            <a:t> Budget</a:t>
          </a:r>
        </a:p>
        <a:p>
          <a:pPr algn="ctr"/>
          <a:endParaRPr lang="en-US" sz="1100"/>
        </a:p>
        <a:p>
          <a:pPr algn="l"/>
          <a:endParaRPr lang="en-US" sz="1100"/>
        </a:p>
      </xdr:txBody>
    </xdr:sp>
    <xdr:clientData/>
  </xdr:twoCellAnchor>
  <xdr:twoCellAnchor>
    <xdr:from>
      <xdr:col>4</xdr:col>
      <xdr:colOff>167640</xdr:colOff>
      <xdr:row>2</xdr:row>
      <xdr:rowOff>99060</xdr:rowOff>
    </xdr:from>
    <xdr:to>
      <xdr:col>7</xdr:col>
      <xdr:colOff>487680</xdr:colOff>
      <xdr:row>4</xdr:row>
      <xdr:rowOff>15240</xdr:rowOff>
    </xdr:to>
    <xdr:sp macro="" textlink="'KPI total budget'!B4">
      <xdr:nvSpPr>
        <xdr:cNvPr id="15" name="Rectangle 14">
          <a:extLst>
            <a:ext uri="{FF2B5EF4-FFF2-40B4-BE49-F238E27FC236}">
              <a16:creationId xmlns:a16="http://schemas.microsoft.com/office/drawing/2014/main" id="{22C911F3-9E0B-43CF-A349-AC01C7A1EC7C}"/>
            </a:ext>
          </a:extLst>
        </xdr:cNvPr>
        <xdr:cNvSpPr/>
      </xdr:nvSpPr>
      <xdr:spPr>
        <a:xfrm>
          <a:off x="2606040" y="464820"/>
          <a:ext cx="2148840" cy="28194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980A9282-1643-4FD1-ADE9-3DDAB1EA1FAA}" type="TxLink">
            <a:rPr lang="en-US" sz="1600" b="0" i="0" u="none" strike="noStrike">
              <a:solidFill>
                <a:srgbClr val="000000"/>
              </a:solidFill>
              <a:latin typeface="Calibri"/>
              <a:cs typeface="Calibri"/>
            </a:rPr>
            <a:pPr algn="ctr"/>
            <a:t> 2,580,000 </a:t>
          </a:fld>
          <a:endParaRPr lang="en-US" sz="2400"/>
        </a:p>
      </xdr:txBody>
    </xdr:sp>
    <xdr:clientData/>
  </xdr:twoCellAnchor>
  <xdr:twoCellAnchor>
    <xdr:from>
      <xdr:col>8</xdr:col>
      <xdr:colOff>213360</xdr:colOff>
      <xdr:row>3</xdr:row>
      <xdr:rowOff>175260</xdr:rowOff>
    </xdr:from>
    <xdr:to>
      <xdr:col>11</xdr:col>
      <xdr:colOff>525780</xdr:colOff>
      <xdr:row>5</xdr:row>
      <xdr:rowOff>38100</xdr:rowOff>
    </xdr:to>
    <xdr:sp macro="" textlink="">
      <xdr:nvSpPr>
        <xdr:cNvPr id="16" name="Rectangle 15">
          <a:extLst>
            <a:ext uri="{FF2B5EF4-FFF2-40B4-BE49-F238E27FC236}">
              <a16:creationId xmlns:a16="http://schemas.microsoft.com/office/drawing/2014/main" id="{6FC78024-ADBE-4044-9BD5-947FE0D223B8}"/>
            </a:ext>
          </a:extLst>
        </xdr:cNvPr>
        <xdr:cNvSpPr/>
      </xdr:nvSpPr>
      <xdr:spPr>
        <a:xfrm>
          <a:off x="5090160" y="723900"/>
          <a:ext cx="2141220" cy="228600"/>
        </a:xfrm>
        <a:prstGeom prst="rect">
          <a:avLst/>
        </a:prstGeom>
        <a:ln w="6350">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r>
            <a:rPr lang="en-US" sz="1100"/>
            <a:t>Total</a:t>
          </a:r>
          <a:r>
            <a:rPr lang="en-US" sz="1100" baseline="0"/>
            <a:t> Bonus</a:t>
          </a:r>
          <a:endParaRPr lang="en-US" sz="1100"/>
        </a:p>
      </xdr:txBody>
    </xdr:sp>
    <xdr:clientData/>
  </xdr:twoCellAnchor>
  <xdr:twoCellAnchor>
    <xdr:from>
      <xdr:col>8</xdr:col>
      <xdr:colOff>213360</xdr:colOff>
      <xdr:row>2</xdr:row>
      <xdr:rowOff>83820</xdr:rowOff>
    </xdr:from>
    <xdr:to>
      <xdr:col>11</xdr:col>
      <xdr:colOff>533400</xdr:colOff>
      <xdr:row>4</xdr:row>
      <xdr:rowOff>0</xdr:rowOff>
    </xdr:to>
    <xdr:sp macro="" textlink="'KPI total bonus'!B4">
      <xdr:nvSpPr>
        <xdr:cNvPr id="17" name="Rectangle 16">
          <a:extLst>
            <a:ext uri="{FF2B5EF4-FFF2-40B4-BE49-F238E27FC236}">
              <a16:creationId xmlns:a16="http://schemas.microsoft.com/office/drawing/2014/main" id="{A9D6B8AA-7489-457C-A1A8-60E6A131AC23}"/>
            </a:ext>
          </a:extLst>
        </xdr:cNvPr>
        <xdr:cNvSpPr/>
      </xdr:nvSpPr>
      <xdr:spPr>
        <a:xfrm>
          <a:off x="5090160" y="449580"/>
          <a:ext cx="2148840" cy="28194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4CA30FE5-54BD-4A10-9BBB-6ED30C9FA7B4}" type="TxLink">
            <a:rPr lang="en-US" sz="1600" b="0" i="0" u="none" strike="noStrike">
              <a:solidFill>
                <a:srgbClr val="000000"/>
              </a:solidFill>
              <a:latin typeface="Calibri"/>
              <a:cs typeface="Calibri"/>
            </a:rPr>
            <a:pPr algn="ctr"/>
            <a:t> 1,040,639 </a:t>
          </a:fld>
          <a:endParaRPr lang="en-US" sz="2400"/>
        </a:p>
      </xdr:txBody>
    </xdr:sp>
    <xdr:clientData/>
  </xdr:twoCellAnchor>
  <xdr:twoCellAnchor editAs="oneCell">
    <xdr:from>
      <xdr:col>16</xdr:col>
      <xdr:colOff>182880</xdr:colOff>
      <xdr:row>2</xdr:row>
      <xdr:rowOff>152400</xdr:rowOff>
    </xdr:from>
    <xdr:to>
      <xdr:col>19</xdr:col>
      <xdr:colOff>358140</xdr:colOff>
      <xdr:row>11</xdr:row>
      <xdr:rowOff>76199</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D5A6F67E-2F3D-456B-8A09-C854ECE199A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936480" y="518160"/>
              <a:ext cx="2004060" cy="1569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175260</xdr:colOff>
      <xdr:row>12</xdr:row>
      <xdr:rowOff>15241</xdr:rowOff>
    </xdr:from>
    <xdr:to>
      <xdr:col>19</xdr:col>
      <xdr:colOff>381000</xdr:colOff>
      <xdr:row>19</xdr:row>
      <xdr:rowOff>60960</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06C40276-90E4-4AEC-9592-78C7CEC400E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28860" y="2209801"/>
              <a:ext cx="2034540" cy="1325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480060</xdr:colOff>
      <xdr:row>17</xdr:row>
      <xdr:rowOff>53340</xdr:rowOff>
    </xdr:from>
    <xdr:to>
      <xdr:col>23</xdr:col>
      <xdr:colOff>68580</xdr:colOff>
      <xdr:row>24</xdr:row>
      <xdr:rowOff>137159</xdr:rowOff>
    </xdr:to>
    <mc:AlternateContent xmlns:mc="http://schemas.openxmlformats.org/markup-compatibility/2006">
      <mc:Choice xmlns:a14="http://schemas.microsoft.com/office/drawing/2010/main" Requires="a14">
        <xdr:graphicFrame macro="">
          <xdr:nvGraphicFramePr>
            <xdr:cNvPr id="28" name="Country 1">
              <a:extLst>
                <a:ext uri="{FF2B5EF4-FFF2-40B4-BE49-F238E27FC236}">
                  <a16:creationId xmlns:a16="http://schemas.microsoft.com/office/drawing/2014/main" id="{EFB124D7-65BF-4C98-951E-BD9447FF8D1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062460" y="3162300"/>
              <a:ext cx="2026920" cy="1363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480060</xdr:colOff>
      <xdr:row>2</xdr:row>
      <xdr:rowOff>160020</xdr:rowOff>
    </xdr:from>
    <xdr:to>
      <xdr:col>23</xdr:col>
      <xdr:colOff>45720</xdr:colOff>
      <xdr:row>9</xdr:row>
      <xdr:rowOff>45719</xdr:rowOff>
    </xdr:to>
    <mc:AlternateContent xmlns:mc="http://schemas.openxmlformats.org/markup-compatibility/2006" xmlns:a14="http://schemas.microsoft.com/office/drawing/2010/main">
      <mc:Choice Requires="a14">
        <xdr:graphicFrame macro="">
          <xdr:nvGraphicFramePr>
            <xdr:cNvPr id="29" name="High_Value_Flag 1">
              <a:extLst>
                <a:ext uri="{FF2B5EF4-FFF2-40B4-BE49-F238E27FC236}">
                  <a16:creationId xmlns:a16="http://schemas.microsoft.com/office/drawing/2014/main" id="{871FA936-5A46-44F0-ABA6-B95BFE979B7D}"/>
                </a:ext>
              </a:extLst>
            </xdr:cNvPr>
            <xdr:cNvGraphicFramePr/>
          </xdr:nvGraphicFramePr>
          <xdr:xfrm>
            <a:off x="0" y="0"/>
            <a:ext cx="0" cy="0"/>
          </xdr:xfrm>
          <a:graphic>
            <a:graphicData uri="http://schemas.microsoft.com/office/drawing/2010/slicer">
              <sle:slicer xmlns:sle="http://schemas.microsoft.com/office/drawing/2010/slicer" name="High_Value_Flag 1"/>
            </a:graphicData>
          </a:graphic>
        </xdr:graphicFrame>
      </mc:Choice>
      <mc:Fallback xmlns="">
        <xdr:sp macro="" textlink="">
          <xdr:nvSpPr>
            <xdr:cNvPr id="0" name=""/>
            <xdr:cNvSpPr>
              <a:spLocks noTextEdit="1"/>
            </xdr:cNvSpPr>
          </xdr:nvSpPr>
          <xdr:spPr>
            <a:xfrm>
              <a:off x="12062460" y="525780"/>
              <a:ext cx="200406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487680</xdr:colOff>
      <xdr:row>10</xdr:row>
      <xdr:rowOff>22860</xdr:rowOff>
    </xdr:from>
    <xdr:to>
      <xdr:col>23</xdr:col>
      <xdr:colOff>60960</xdr:colOff>
      <xdr:row>16</xdr:row>
      <xdr:rowOff>83819</xdr:rowOff>
    </xdr:to>
    <mc:AlternateContent xmlns:mc="http://schemas.openxmlformats.org/markup-compatibility/2006">
      <mc:Choice xmlns:a14="http://schemas.microsoft.com/office/drawing/2010/main" Requires="a14">
        <xdr:graphicFrame macro="">
          <xdr:nvGraphicFramePr>
            <xdr:cNvPr id="31" name="Weekend_Transaction 1">
              <a:extLst>
                <a:ext uri="{FF2B5EF4-FFF2-40B4-BE49-F238E27FC236}">
                  <a16:creationId xmlns:a16="http://schemas.microsoft.com/office/drawing/2014/main" id="{9D18BF9D-773C-45DE-B95F-69DE98446494}"/>
                </a:ext>
              </a:extLst>
            </xdr:cNvPr>
            <xdr:cNvGraphicFramePr/>
          </xdr:nvGraphicFramePr>
          <xdr:xfrm>
            <a:off x="0" y="0"/>
            <a:ext cx="0" cy="0"/>
          </xdr:xfrm>
          <a:graphic>
            <a:graphicData uri="http://schemas.microsoft.com/office/drawing/2010/slicer">
              <sle:slicer xmlns:sle="http://schemas.microsoft.com/office/drawing/2010/slicer" name="Weekend_Transaction 1"/>
            </a:graphicData>
          </a:graphic>
        </xdr:graphicFrame>
      </mc:Choice>
      <mc:Fallback>
        <xdr:sp macro="" textlink="">
          <xdr:nvSpPr>
            <xdr:cNvPr id="0" name=""/>
            <xdr:cNvSpPr>
              <a:spLocks noTextEdit="1"/>
            </xdr:cNvSpPr>
          </xdr:nvSpPr>
          <xdr:spPr>
            <a:xfrm>
              <a:off x="12070080" y="1851660"/>
              <a:ext cx="2011680" cy="1158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266700</xdr:colOff>
      <xdr:row>4</xdr:row>
      <xdr:rowOff>7620</xdr:rowOff>
    </xdr:from>
    <xdr:to>
      <xdr:col>15</xdr:col>
      <xdr:colOff>579120</xdr:colOff>
      <xdr:row>5</xdr:row>
      <xdr:rowOff>53340</xdr:rowOff>
    </xdr:to>
    <xdr:sp macro="" textlink="">
      <xdr:nvSpPr>
        <xdr:cNvPr id="24" name="Rectangle 23">
          <a:extLst>
            <a:ext uri="{FF2B5EF4-FFF2-40B4-BE49-F238E27FC236}">
              <a16:creationId xmlns:a16="http://schemas.microsoft.com/office/drawing/2014/main" id="{7E608314-C12C-4556-8F2A-EC5C7B311785}"/>
            </a:ext>
          </a:extLst>
        </xdr:cNvPr>
        <xdr:cNvSpPr/>
      </xdr:nvSpPr>
      <xdr:spPr>
        <a:xfrm>
          <a:off x="7581900" y="739140"/>
          <a:ext cx="2141220" cy="228600"/>
        </a:xfrm>
        <a:prstGeom prst="rect">
          <a:avLst/>
        </a:prstGeom>
        <a:ln w="6350">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r>
            <a:rPr lang="en-US" sz="1100"/>
            <a:t>Count</a:t>
          </a:r>
          <a:r>
            <a:rPr lang="en-US" sz="1100" baseline="0"/>
            <a:t> of Accounts</a:t>
          </a:r>
          <a:endParaRPr lang="en-US" sz="1100"/>
        </a:p>
      </xdr:txBody>
    </xdr:sp>
    <xdr:clientData/>
  </xdr:twoCellAnchor>
  <xdr:twoCellAnchor>
    <xdr:from>
      <xdr:col>12</xdr:col>
      <xdr:colOff>266700</xdr:colOff>
      <xdr:row>2</xdr:row>
      <xdr:rowOff>91440</xdr:rowOff>
    </xdr:from>
    <xdr:to>
      <xdr:col>15</xdr:col>
      <xdr:colOff>586740</xdr:colOff>
      <xdr:row>4</xdr:row>
      <xdr:rowOff>7620</xdr:rowOff>
    </xdr:to>
    <xdr:sp macro="" textlink="'KPI count of accounts'!B4">
      <xdr:nvSpPr>
        <xdr:cNvPr id="25" name="Rectangle 24">
          <a:extLst>
            <a:ext uri="{FF2B5EF4-FFF2-40B4-BE49-F238E27FC236}">
              <a16:creationId xmlns:a16="http://schemas.microsoft.com/office/drawing/2014/main" id="{E8A7793E-E073-4278-8D19-2ECA334DD48F}"/>
            </a:ext>
          </a:extLst>
        </xdr:cNvPr>
        <xdr:cNvSpPr/>
      </xdr:nvSpPr>
      <xdr:spPr>
        <a:xfrm>
          <a:off x="7581900" y="457200"/>
          <a:ext cx="2148840" cy="28194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1B831681-BFC6-49CA-83FE-C2A45BBE8BE3}" type="TxLink">
            <a:rPr lang="en-US" sz="1600" b="0" i="0" u="none" strike="noStrike">
              <a:solidFill>
                <a:srgbClr val="000000"/>
              </a:solidFill>
              <a:latin typeface="Calibri"/>
              <a:cs typeface="Calibri"/>
            </a:rPr>
            <a:pPr algn="ctr"/>
            <a:t>4</a:t>
          </a:fld>
          <a:endParaRPr lang="en-US" sz="2400" b="0" i="0" u="none" strike="noStrike">
            <a:solidFill>
              <a:srgbClr val="000000"/>
            </a:solidFill>
            <a:latin typeface="Calibri"/>
            <a:cs typeface="Calibri"/>
          </a:endParaRPr>
        </a:p>
      </xdr:txBody>
    </xdr:sp>
    <xdr:clientData/>
  </xdr:twoCellAnchor>
  <xdr:twoCellAnchor>
    <xdr:from>
      <xdr:col>0</xdr:col>
      <xdr:colOff>137160</xdr:colOff>
      <xdr:row>4</xdr:row>
      <xdr:rowOff>7620</xdr:rowOff>
    </xdr:from>
    <xdr:to>
      <xdr:col>3</xdr:col>
      <xdr:colOff>449580</xdr:colOff>
      <xdr:row>5</xdr:row>
      <xdr:rowOff>53340</xdr:rowOff>
    </xdr:to>
    <xdr:sp macro="" textlink="">
      <xdr:nvSpPr>
        <xdr:cNvPr id="33" name="Rectangle 32">
          <a:extLst>
            <a:ext uri="{FF2B5EF4-FFF2-40B4-BE49-F238E27FC236}">
              <a16:creationId xmlns:a16="http://schemas.microsoft.com/office/drawing/2014/main" id="{28906F32-1571-4ACB-9A54-E168D3931C55}"/>
            </a:ext>
          </a:extLst>
        </xdr:cNvPr>
        <xdr:cNvSpPr/>
      </xdr:nvSpPr>
      <xdr:spPr>
        <a:xfrm>
          <a:off x="137160" y="739140"/>
          <a:ext cx="2141220" cy="228600"/>
        </a:xfrm>
        <a:prstGeom prst="rect">
          <a:avLst/>
        </a:prstGeom>
        <a:ln w="6350">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r>
            <a:rPr lang="en-US" sz="1100"/>
            <a:t>Total spend</a:t>
          </a:r>
        </a:p>
        <a:p>
          <a:pPr algn="l"/>
          <a:endParaRPr lang="en-US" sz="1100"/>
        </a:p>
      </xdr:txBody>
    </xdr:sp>
    <xdr:clientData/>
  </xdr:twoCellAnchor>
  <xdr:twoCellAnchor>
    <xdr:from>
      <xdr:col>0</xdr:col>
      <xdr:colOff>137160</xdr:colOff>
      <xdr:row>2</xdr:row>
      <xdr:rowOff>99060</xdr:rowOff>
    </xdr:from>
    <xdr:to>
      <xdr:col>3</xdr:col>
      <xdr:colOff>457200</xdr:colOff>
      <xdr:row>4</xdr:row>
      <xdr:rowOff>15240</xdr:rowOff>
    </xdr:to>
    <xdr:sp macro="" textlink="'KPI total spend'!B4">
      <xdr:nvSpPr>
        <xdr:cNvPr id="34" name="Rectangle 33">
          <a:extLst>
            <a:ext uri="{FF2B5EF4-FFF2-40B4-BE49-F238E27FC236}">
              <a16:creationId xmlns:a16="http://schemas.microsoft.com/office/drawing/2014/main" id="{3881B094-1FD9-47BB-91B2-7D414C59FF56}"/>
            </a:ext>
          </a:extLst>
        </xdr:cNvPr>
        <xdr:cNvSpPr/>
      </xdr:nvSpPr>
      <xdr:spPr>
        <a:xfrm>
          <a:off x="137160" y="464820"/>
          <a:ext cx="2148840" cy="28194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1A87DE0B-A688-436F-9E9B-8CEA45949BAF}" type="TxLink">
            <a:rPr lang="en-US" sz="1600" b="0" i="0" u="none" strike="noStrike">
              <a:solidFill>
                <a:srgbClr val="000000"/>
              </a:solidFill>
              <a:latin typeface="Calibri"/>
              <a:cs typeface="Calibri"/>
            </a:rPr>
            <a:pPr algn="ctr"/>
            <a:t> 25,050,464 </a:t>
          </a:fld>
          <a:endParaRPr lang="en-US" sz="1600"/>
        </a:p>
      </xdr:txBody>
    </xdr:sp>
    <xdr:clientData/>
  </xdr:twoCellAnchor>
  <xdr:twoCellAnchor editAs="oneCell">
    <xdr:from>
      <xdr:col>16</xdr:col>
      <xdr:colOff>167640</xdr:colOff>
      <xdr:row>20</xdr:row>
      <xdr:rowOff>7620</xdr:rowOff>
    </xdr:from>
    <xdr:to>
      <xdr:col>19</xdr:col>
      <xdr:colOff>381000</xdr:colOff>
      <xdr:row>25</xdr:row>
      <xdr:rowOff>152399</xdr:rowOff>
    </xdr:to>
    <mc:AlternateContent xmlns:mc="http://schemas.openxmlformats.org/markup-compatibility/2006" xmlns:a14="http://schemas.microsoft.com/office/drawing/2010/main">
      <mc:Choice Requires="a14">
        <xdr:graphicFrame macro="">
          <xdr:nvGraphicFramePr>
            <xdr:cNvPr id="9" name="High_Bonus_Spend_flag">
              <a:extLst>
                <a:ext uri="{FF2B5EF4-FFF2-40B4-BE49-F238E27FC236}">
                  <a16:creationId xmlns:a16="http://schemas.microsoft.com/office/drawing/2014/main" id="{10D43AA3-7A95-4944-89D7-32F3A9D1FCC5}"/>
                </a:ext>
              </a:extLst>
            </xdr:cNvPr>
            <xdr:cNvGraphicFramePr/>
          </xdr:nvGraphicFramePr>
          <xdr:xfrm>
            <a:off x="0" y="0"/>
            <a:ext cx="0" cy="0"/>
          </xdr:xfrm>
          <a:graphic>
            <a:graphicData uri="http://schemas.microsoft.com/office/drawing/2010/slicer">
              <sle:slicer xmlns:sle="http://schemas.microsoft.com/office/drawing/2010/slicer" name="High_Bonus_Spend_flag"/>
            </a:graphicData>
          </a:graphic>
        </xdr:graphicFrame>
      </mc:Choice>
      <mc:Fallback xmlns="">
        <xdr:sp macro="" textlink="">
          <xdr:nvSpPr>
            <xdr:cNvPr id="0" name=""/>
            <xdr:cNvSpPr>
              <a:spLocks noTextEdit="1"/>
            </xdr:cNvSpPr>
          </xdr:nvSpPr>
          <xdr:spPr>
            <a:xfrm>
              <a:off x="9921240" y="3665220"/>
              <a:ext cx="2042160" cy="1059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xdr:colOff>
      <xdr:row>2</xdr:row>
      <xdr:rowOff>57150</xdr:rowOff>
    </xdr:from>
    <xdr:to>
      <xdr:col>15</xdr:col>
      <xdr:colOff>129540</xdr:colOff>
      <xdr:row>21</xdr:row>
      <xdr:rowOff>22860</xdr:rowOff>
    </xdr:to>
    <xdr:graphicFrame macro="">
      <xdr:nvGraphicFramePr>
        <xdr:cNvPr id="2" name="Chart 1">
          <a:extLst>
            <a:ext uri="{FF2B5EF4-FFF2-40B4-BE49-F238E27FC236}">
              <a16:creationId xmlns:a16="http://schemas.microsoft.com/office/drawing/2014/main" id="{AB28A8CA-D5E2-4733-8C60-6647A8CA5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236220</xdr:colOff>
      <xdr:row>1</xdr:row>
      <xdr:rowOff>163830</xdr:rowOff>
    </xdr:from>
    <xdr:to>
      <xdr:col>13</xdr:col>
      <xdr:colOff>563880</xdr:colOff>
      <xdr:row>20</xdr:row>
      <xdr:rowOff>129540</xdr:rowOff>
    </xdr:to>
    <xdr:graphicFrame macro="">
      <xdr:nvGraphicFramePr>
        <xdr:cNvPr id="2" name="Chart 1">
          <a:extLst>
            <a:ext uri="{FF2B5EF4-FFF2-40B4-BE49-F238E27FC236}">
              <a16:creationId xmlns:a16="http://schemas.microsoft.com/office/drawing/2014/main" id="{889DD58A-7972-4028-88C5-2877367D0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xdr:colOff>
      <xdr:row>1</xdr:row>
      <xdr:rowOff>163830</xdr:rowOff>
    </xdr:from>
    <xdr:to>
      <xdr:col>11</xdr:col>
      <xdr:colOff>335280</xdr:colOff>
      <xdr:row>16</xdr:row>
      <xdr:rowOff>163830</xdr:rowOff>
    </xdr:to>
    <xdr:graphicFrame macro="">
      <xdr:nvGraphicFramePr>
        <xdr:cNvPr id="2" name="Chart 1">
          <a:extLst>
            <a:ext uri="{FF2B5EF4-FFF2-40B4-BE49-F238E27FC236}">
              <a16:creationId xmlns:a16="http://schemas.microsoft.com/office/drawing/2014/main" id="{1F454502-AAC5-4C24-9895-952B7CE56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297180</xdr:colOff>
      <xdr:row>2</xdr:row>
      <xdr:rowOff>41910</xdr:rowOff>
    </xdr:from>
    <xdr:to>
      <xdr:col>12</xdr:col>
      <xdr:colOff>601980</xdr:colOff>
      <xdr:row>17</xdr:row>
      <xdr:rowOff>41910</xdr:rowOff>
    </xdr:to>
    <xdr:graphicFrame macro="">
      <xdr:nvGraphicFramePr>
        <xdr:cNvPr id="2" name="Chart 1">
          <a:extLst>
            <a:ext uri="{FF2B5EF4-FFF2-40B4-BE49-F238E27FC236}">
              <a16:creationId xmlns:a16="http://schemas.microsoft.com/office/drawing/2014/main" id="{8505E655-953C-40CC-B2B7-DF055F4B5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815263657409" createdVersion="5" refreshedVersion="7" minRefreshableVersion="3" recordCount="0" supportSubquery="1" supportAdvancedDrill="1" xr:uid="{BD41644C-224A-42D2-B749-3B236C00909F}">
  <cacheSource type="external" connectionId="4"/>
  <cacheFields count="3">
    <cacheField name="[Transactions].[TransactionDate].[TransactionDate]" caption="TransactionDate" numFmtId="0" hierarchy="8"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easures].[Count of AccountID]" caption="Count of AccountID" numFmtId="0" hierarchy="28" level="32767"/>
    <cacheField name="[Transactions].[High_Bonus_Spend_flag].[High_Bonus_Spend_flag]" caption="High_Bonus_Spend_flag" numFmtId="0" hierarchy="1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fieldsUsage count="2">
        <fieldUsage x="-1"/>
        <fieldUsage x="0"/>
      </fieldsUsage>
    </cacheHierarchy>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2" memberValueDatatype="130" unbalanced="0"/>
    <cacheHierarchy uniqueName="[Transactions].[Bonuses]" caption="Bonuses" attribute="1" defaultMemberUniqueName="[Transactions].[Bonuses].[All]" allUniqueName="[Transactions].[Bonuses].[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High_Bonus_Spend_flag]" caption="High_Bonus_Spend_flag" attribute="1" defaultMemberUniqueName="[Transactions].[High_Bonus_Spend_flag].[All]" allUniqueName="[Transactions].[High_Bonus_Spend_flag].[All]" dimensionUniqueName="[Transactions]" displayFolder="" count="2" memberValueDatatype="130" unbalanced="0">
      <fieldsUsage count="2">
        <fieldUsage x="-1"/>
        <fieldUsage x="2"/>
      </fieldsUsage>
    </cacheHierarchy>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XL_Count Regions]" caption="__XL_Count Regions" measure="1" displayFolder="" measureGroup="Regions" count="0" hidden="1"/>
    <cacheHierarchy uniqueName="[Measures].[__XL_Count Accounts]" caption="__XL_Count Accounts" measure="1" displayFolder="" measureGroup="Accounts" count="0" hidden="1"/>
    <cacheHierarchy uniqueName="[Measures].[__No measures defined]" caption="__No measures defined" measure="1" displayFolder="" count="0" hidden="1"/>
    <cacheHierarchy uniqueName="[Measures].[Sum of Amount]" caption="Sum of Amount" measure="1" displayFolder="" measureGroup="Transactions" count="0" hidden="1">
      <extLst>
        <ext xmlns:x15="http://schemas.microsoft.com/office/spreadsheetml/2010/11/main" uri="{B97F6D7D-B522-45F9-BDA1-12C45D357490}">
          <x15:cacheHierarchy aggregatedColumn="11"/>
        </ext>
      </extLst>
    </cacheHierarchy>
    <cacheHierarchy uniqueName="[Measures].[Sum of Monthly_Budget]" caption="Sum of Monthly_Budget" measure="1" displayFolder="" measureGroup="Accounts" count="0" hidden="1">
      <extLst>
        <ext xmlns:x15="http://schemas.microsoft.com/office/spreadsheetml/2010/11/main" uri="{B97F6D7D-B522-45F9-BDA1-12C45D357490}">
          <x15:cacheHierarchy aggregatedColumn="2"/>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y uniqueName="[Measures].[Sum of Account_Bonus_Rate_per_Transaction]" caption="Sum of Account_Bonus_Rate_per_Transaction" measure="1" displayFolder="" measureGroup="Accounts" count="0" hidden="1">
      <extLst>
        <ext xmlns:x15="http://schemas.microsoft.com/office/spreadsheetml/2010/11/main" uri="{B97F6D7D-B522-45F9-BDA1-12C45D357490}">
          <x15:cacheHierarchy aggregatedColumn="3"/>
        </ext>
      </extLst>
    </cacheHierarchy>
    <cacheHierarchy uniqueName="[Measures].[Sum of Bonuses]" caption="Sum of Bonuses" measure="1" displayFolder="" measureGroup="Transactions" count="0" hidden="1">
      <extLst>
        <ext xmlns:x15="http://schemas.microsoft.com/office/spreadsheetml/2010/11/main" uri="{B97F6D7D-B522-45F9-BDA1-12C45D357490}">
          <x15:cacheHierarchy aggregatedColumn="15"/>
        </ext>
      </extLst>
    </cacheHierarchy>
    <cacheHierarchy uniqueName="[Measures].[Count of AccountID]" caption="Count of AccountID" measure="1" displayFolder="" measureGroup="Account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815264004632" createdVersion="5" refreshedVersion="7" minRefreshableVersion="3" recordCount="0" supportSubquery="1" supportAdvancedDrill="1" xr:uid="{BC0002ED-0440-4BEF-991D-058F275349CB}">
  <cacheSource type="external" connectionId="4"/>
  <cacheFields count="3">
    <cacheField name="[Transactions].[TransactionDate].[TransactionDate]" caption="TransactionDate" numFmtId="0" hierarchy="8"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easures].[Sum of Amount]" caption="Sum of Amount" numFmtId="0" hierarchy="23" level="32767"/>
    <cacheField name="[Transactions].[High_Bonus_Spend_flag].[High_Bonus_Spend_flag]" caption="High_Bonus_Spend_flag" numFmtId="0" hierarchy="1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fieldsUsage count="2">
        <fieldUsage x="-1"/>
        <fieldUsage x="0"/>
      </fieldsUsage>
    </cacheHierarchy>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2" memberValueDatatype="130" unbalanced="0"/>
    <cacheHierarchy uniqueName="[Transactions].[Bonuses]" caption="Bonuses" attribute="1" defaultMemberUniqueName="[Transactions].[Bonuses].[All]" allUniqueName="[Transactions].[Bonuses].[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High_Bonus_Spend_flag]" caption="High_Bonus_Spend_flag" attribute="1" defaultMemberUniqueName="[Transactions].[High_Bonus_Spend_flag].[All]" allUniqueName="[Transactions].[High_Bonus_Spend_flag].[All]" dimensionUniqueName="[Transactions]" displayFolder="" count="2" memberValueDatatype="130" unbalanced="0">
      <fieldsUsage count="2">
        <fieldUsage x="-1"/>
        <fieldUsage x="2"/>
      </fieldsUsage>
    </cacheHierarchy>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XL_Count Regions]" caption="__XL_Count Regions" measure="1" displayFolder="" measureGroup="Regions" count="0" hidden="1"/>
    <cacheHierarchy uniqueName="[Measures].[__XL_Count Accounts]" caption="__XL_Count Accounts" measure="1" displayFolder="" measureGroup="Account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Monthly_Budget]" caption="Sum of Monthly_Budget" measure="1" displayFolder="" measureGroup="Accounts" count="0" hidden="1">
      <extLst>
        <ext xmlns:x15="http://schemas.microsoft.com/office/spreadsheetml/2010/11/main" uri="{B97F6D7D-B522-45F9-BDA1-12C45D357490}">
          <x15:cacheHierarchy aggregatedColumn="2"/>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y uniqueName="[Measures].[Sum of Account_Bonus_Rate_per_Transaction]" caption="Sum of Account_Bonus_Rate_per_Transaction" measure="1" displayFolder="" measureGroup="Accounts" count="0" hidden="1">
      <extLst>
        <ext xmlns:x15="http://schemas.microsoft.com/office/spreadsheetml/2010/11/main" uri="{B97F6D7D-B522-45F9-BDA1-12C45D357490}">
          <x15:cacheHierarchy aggregatedColumn="3"/>
        </ext>
      </extLst>
    </cacheHierarchy>
    <cacheHierarchy uniqueName="[Measures].[Sum of Bonuses]" caption="Sum of Bonuses" measure="1" displayFolder="" measureGroup="Transactions" count="0" hidden="1">
      <extLst>
        <ext xmlns:x15="http://schemas.microsoft.com/office/spreadsheetml/2010/11/main" uri="{B97F6D7D-B522-45F9-BDA1-12C45D357490}">
          <x15:cacheHierarchy aggregatedColumn="15"/>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815264467594" createdVersion="5" refreshedVersion="7" minRefreshableVersion="3" recordCount="0" supportSubquery="1" supportAdvancedDrill="1" xr:uid="{6AA2F64C-22C6-4436-B3CE-06970E6753E2}">
  <cacheSource type="external" connectionId="4"/>
  <cacheFields count="3">
    <cacheField name="[Transactions].[TransactionDate].[TransactionDate]" caption="TransactionDate" numFmtId="0" hierarchy="8"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easures].[Sum of Annual Budget]" caption="Sum of Annual Budget" numFmtId="0" hierarchy="25" level="32767"/>
    <cacheField name="[Transactions].[High_Bonus_Spend_flag].[High_Bonus_Spend_flag]" caption="High_Bonus_Spend_flag" numFmtId="0" hierarchy="1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fieldsUsage count="2">
        <fieldUsage x="-1"/>
        <fieldUsage x="0"/>
      </fieldsUsage>
    </cacheHierarchy>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2" memberValueDatatype="130" unbalanced="0"/>
    <cacheHierarchy uniqueName="[Transactions].[Bonuses]" caption="Bonuses" attribute="1" defaultMemberUniqueName="[Transactions].[Bonuses].[All]" allUniqueName="[Transactions].[Bonuses].[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High_Bonus_Spend_flag]" caption="High_Bonus_Spend_flag" attribute="1" defaultMemberUniqueName="[Transactions].[High_Bonus_Spend_flag].[All]" allUniqueName="[Transactions].[High_Bonus_Spend_flag].[All]" dimensionUniqueName="[Transactions]" displayFolder="" count="2" memberValueDatatype="130" unbalanced="0">
      <fieldsUsage count="2">
        <fieldUsage x="-1"/>
        <fieldUsage x="2"/>
      </fieldsUsage>
    </cacheHierarchy>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XL_Count Regions]" caption="__XL_Count Regions" measure="1" displayFolder="" measureGroup="Regions" count="0" hidden="1"/>
    <cacheHierarchy uniqueName="[Measures].[__XL_Count Accounts]" caption="__XL_Count Accounts" measure="1" displayFolder="" measureGroup="Accounts" count="0" hidden="1"/>
    <cacheHierarchy uniqueName="[Measures].[__No measures defined]" caption="__No measures defined" measure="1" displayFolder="" count="0" hidden="1"/>
    <cacheHierarchy uniqueName="[Measures].[Sum of Amount]" caption="Sum of Amount" measure="1" displayFolder="" measureGroup="Transactions" count="0" hidden="1">
      <extLst>
        <ext xmlns:x15="http://schemas.microsoft.com/office/spreadsheetml/2010/11/main" uri="{B97F6D7D-B522-45F9-BDA1-12C45D357490}">
          <x15:cacheHierarchy aggregatedColumn="11"/>
        </ext>
      </extLst>
    </cacheHierarchy>
    <cacheHierarchy uniqueName="[Measures].[Sum of Monthly_Budget]" caption="Sum of Monthly_Budget" measure="1" displayFolder="" measureGroup="Accounts" count="0" hidden="1">
      <extLst>
        <ext xmlns:x15="http://schemas.microsoft.com/office/spreadsheetml/2010/11/main" uri="{B97F6D7D-B522-45F9-BDA1-12C45D357490}">
          <x15:cacheHierarchy aggregatedColumn="2"/>
        </ext>
      </extLst>
    </cacheHierarchy>
    <cacheHierarchy uniqueName="[Measures].[Sum of Annual Budget]" caption="Sum of Annual Budget" measure="1" displayFolder="" measureGroup="Account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ccount_Bonus_Rate_per_Transaction]" caption="Sum of Account_Bonus_Rate_per_Transaction" measure="1" displayFolder="" measureGroup="Accounts" count="0" hidden="1">
      <extLst>
        <ext xmlns:x15="http://schemas.microsoft.com/office/spreadsheetml/2010/11/main" uri="{B97F6D7D-B522-45F9-BDA1-12C45D357490}">
          <x15:cacheHierarchy aggregatedColumn="3"/>
        </ext>
      </extLst>
    </cacheHierarchy>
    <cacheHierarchy uniqueName="[Measures].[Sum of Bonuses]" caption="Sum of Bonuses" measure="1" displayFolder="" measureGroup="Transactions" count="0" hidden="1">
      <extLst>
        <ext xmlns:x15="http://schemas.microsoft.com/office/spreadsheetml/2010/11/main" uri="{B97F6D7D-B522-45F9-BDA1-12C45D357490}">
          <x15:cacheHierarchy aggregatedColumn="15"/>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815264814817" createdVersion="5" refreshedVersion="7" minRefreshableVersion="3" recordCount="0" supportSubquery="1" supportAdvancedDrill="1" xr:uid="{C17F1433-FB56-46B1-BB1E-B72BCB9C250B}">
  <cacheSource type="external" connectionId="4"/>
  <cacheFields count="3">
    <cacheField name="[Transactions].[TransactionDate].[TransactionDate]" caption="TransactionDate" numFmtId="0" hierarchy="8"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Measures].[Sum of Bonuses]" caption="Sum of Bonuses" numFmtId="0" hierarchy="27" level="32767"/>
    <cacheField name="[Transactions].[High_Bonus_Spend_flag].[High_Bonus_Spend_flag]" caption="High_Bonus_Spend_flag" numFmtId="0" hierarchy="1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fieldsUsage count="2">
        <fieldUsage x="-1"/>
        <fieldUsage x="0"/>
      </fieldsUsage>
    </cacheHierarchy>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2" memberValueDatatype="130" unbalanced="0"/>
    <cacheHierarchy uniqueName="[Transactions].[Bonuses]" caption="Bonuses" attribute="1" defaultMemberUniqueName="[Transactions].[Bonuses].[All]" allUniqueName="[Transactions].[Bonuses].[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High_Bonus_Spend_flag]" caption="High_Bonus_Spend_flag" attribute="1" defaultMemberUniqueName="[Transactions].[High_Bonus_Spend_flag].[All]" allUniqueName="[Transactions].[High_Bonus_Spend_flag].[All]" dimensionUniqueName="[Transactions]" displayFolder="" count="2" memberValueDatatype="130" unbalanced="0">
      <fieldsUsage count="2">
        <fieldUsage x="-1"/>
        <fieldUsage x="2"/>
      </fieldsUsage>
    </cacheHierarchy>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XL_Count Regions]" caption="__XL_Count Regions" measure="1" displayFolder="" measureGroup="Regions" count="0" hidden="1"/>
    <cacheHierarchy uniqueName="[Measures].[__XL_Count Accounts]" caption="__XL_Count Accounts" measure="1" displayFolder="" measureGroup="Accounts" count="0" hidden="1"/>
    <cacheHierarchy uniqueName="[Measures].[__No measures defined]" caption="__No measures defined" measure="1" displayFolder="" count="0" hidden="1"/>
    <cacheHierarchy uniqueName="[Measures].[Sum of Amount]" caption="Sum of Amount" measure="1" displayFolder="" measureGroup="Transactions" count="0" hidden="1">
      <extLst>
        <ext xmlns:x15="http://schemas.microsoft.com/office/spreadsheetml/2010/11/main" uri="{B97F6D7D-B522-45F9-BDA1-12C45D357490}">
          <x15:cacheHierarchy aggregatedColumn="11"/>
        </ext>
      </extLst>
    </cacheHierarchy>
    <cacheHierarchy uniqueName="[Measures].[Sum of Monthly_Budget]" caption="Sum of Monthly_Budget" measure="1" displayFolder="" measureGroup="Accounts" count="0" hidden="1">
      <extLst>
        <ext xmlns:x15="http://schemas.microsoft.com/office/spreadsheetml/2010/11/main" uri="{B97F6D7D-B522-45F9-BDA1-12C45D357490}">
          <x15:cacheHierarchy aggregatedColumn="2"/>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y uniqueName="[Measures].[Sum of Account_Bonus_Rate_per_Transaction]" caption="Sum of Account_Bonus_Rate_per_Transaction" measure="1" displayFolder="" measureGroup="Accounts" count="0" hidden="1">
      <extLst>
        <ext xmlns:x15="http://schemas.microsoft.com/office/spreadsheetml/2010/11/main" uri="{B97F6D7D-B522-45F9-BDA1-12C45D357490}">
          <x15:cacheHierarchy aggregatedColumn="3"/>
        </ext>
      </extLst>
    </cacheHierarchy>
    <cacheHierarchy uniqueName="[Measures].[Sum of Bonuses]" caption="Sum of Bonuses" measure="1" displayFolder="" measureGroup="Transaction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815265509256" createdVersion="5" refreshedVersion="7" minRefreshableVersion="3" recordCount="0" supportSubquery="1" supportAdvancedDrill="1" xr:uid="{3345F7A3-A2AE-4EE6-B9A1-D834163E1A86}">
  <cacheSource type="external" connectionId="4"/>
  <cacheFields count="5">
    <cacheField name="[Measures].[Sum of Amount]" caption="Sum of Amount" numFmtId="0" hierarchy="23" level="32767"/>
    <cacheField name="[Transactions].[TransactionDate].[TransactionDate]" caption="TransactionDate" numFmtId="0" hierarchy="8"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Transactions].[TransactionDate (Month)].[TransactionDate (Month)]" caption="TransactionDate (Month)" numFmtId="0" hierarchy="16" level="1">
      <sharedItems count="12">
        <s v="Jan"/>
        <s v="Feb"/>
        <s v="Mar"/>
        <s v="Apr"/>
        <s v="May"/>
        <s v="Jun"/>
        <s v="Jul"/>
        <s v="Aug"/>
        <s v="Sep"/>
        <s v="Oct"/>
        <s v="Nov"/>
        <s v="Dec"/>
      </sharedItems>
    </cacheField>
    <cacheField name="[Measures].[Sum of Monthly_Budget]" caption="Sum of Monthly_Budget" numFmtId="0" hierarchy="24" level="32767"/>
    <cacheField name="[Transactions].[High_Bonus_Spend_flag].[High_Bonus_Spend_flag]" caption="High_Bonus_Spend_flag" numFmtId="0" hierarchy="1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2"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2"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2" memberValueDatatype="5" unbalanced="0"/>
    <cacheHierarchy uniqueName="[Accounts].[Annual Budget]" caption="Annual Budget" attribute="1" defaultMemberUniqueName="[Accounts].[Annual Budget].[All]" allUniqueName="[Accounts].[Annual Budget].[All]" dimensionUniqueName="[Accounts]" displayFolder="" count="2" memberValueDatatype="5" unbalanced="0"/>
    <cacheHierarchy uniqueName="[Regions].[EntityID]" caption="EntityID" attribute="1" defaultMemberUniqueName="[Regions].[EntityID].[All]" allUniqueName="[Regions].[EntityID].[All]" dimensionUniqueName="[Regions]" displayFolder="" count="2"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fieldsUsage count="2">
        <fieldUsage x="-1"/>
        <fieldUsage x="1"/>
      </fieldsUsage>
    </cacheHierarchy>
    <cacheHierarchy uniqueName="[Transactions].[AccountID]" caption="AccountID" attribute="1" defaultMemberUniqueName="[Transactions].[AccountID].[All]" allUniqueName="[Transactions].[AccountID].[All]" dimensionUniqueName="[Transactions]" displayFolder="" count="2" memberValueDatatype="130" unbalanced="0"/>
    <cacheHierarchy uniqueName="[Transactions].[EntityID]" caption="EntityID" attribute="1" defaultMemberUniqueName="[Transactions].[EntityID].[All]" allUniqueName="[Transactions].[EntityID].[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2"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2" memberValueDatatype="130" unbalanced="0"/>
    <cacheHierarchy uniqueName="[Transactions].[Bonuses]" caption="Bonuses" attribute="1" defaultMemberUniqueName="[Transactions].[Bonuses].[All]" allUniqueName="[Transactions].[Bonuses].[All]" dimensionUniqueName="[Transactions]" displayFolder="" count="2"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fieldsUsage count="2">
        <fieldUsage x="-1"/>
        <fieldUsage x="2"/>
      </fieldsUsage>
    </cacheHierarchy>
    <cacheHierarchy uniqueName="[Transactions].[High_Bonus_Spend_flag]" caption="High_Bonus_Spend_flag" attribute="1" defaultMemberUniqueName="[Transactions].[High_Bonus_Spend_flag].[All]" allUniqueName="[Transactions].[High_Bonus_Spend_flag].[All]" dimensionUniqueName="[Transactions]" displayFolder="" count="2" memberValueDatatype="130" unbalanced="0">
      <fieldsUsage count="2">
        <fieldUsage x="-1"/>
        <fieldUsage x="4"/>
      </fieldsUsage>
    </cacheHierarchy>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2" memberValueDatatype="20" unbalanced="0" hidden="1"/>
    <cacheHierarchy uniqueName="[Measures].[__XL_Count Transactions]" caption="__XL_Count Transactions" measure="1" displayFolder="" measureGroup="Transactions" count="0" hidden="1"/>
    <cacheHierarchy uniqueName="[Measures].[__XL_Count Regions]" caption="__XL_Count Regions" measure="1" displayFolder="" measureGroup="Regions" count="0" hidden="1"/>
    <cacheHierarchy uniqueName="[Measures].[__XL_Count Accounts]" caption="__XL_Count Accounts" measure="1" displayFolder="" measureGroup="Account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Monthly_Budget]" caption="Sum of Monthly_Budget" measure="1" displayFolder="" measureGroup="Accounts" count="0" oneField="1" hidden="1">
      <fieldsUsage count="1">
        <fieldUsage x="3"/>
      </fieldsUsage>
      <extLst>
        <ext xmlns:x15="http://schemas.microsoft.com/office/spreadsheetml/2010/11/main" uri="{B97F6D7D-B522-45F9-BDA1-12C45D357490}">
          <x15:cacheHierarchy aggregatedColumn="2"/>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y uniqueName="[Measures].[Sum of Account_Bonus_Rate_per_Transaction]" caption="Sum of Account_Bonus_Rate_per_Transaction" measure="1" displayFolder="" measureGroup="Accounts" count="0" hidden="1">
      <extLst>
        <ext xmlns:x15="http://schemas.microsoft.com/office/spreadsheetml/2010/11/main" uri="{B97F6D7D-B522-45F9-BDA1-12C45D357490}">
          <x15:cacheHierarchy aggregatedColumn="3"/>
        </ext>
      </extLst>
    </cacheHierarchy>
    <cacheHierarchy uniqueName="[Measures].[Sum of Bonuses]" caption="Sum of Bonuses" measure="1" displayFolder="" measureGroup="Transactions" count="0" hidden="1">
      <extLst>
        <ext xmlns:x15="http://schemas.microsoft.com/office/spreadsheetml/2010/11/main" uri="{B97F6D7D-B522-45F9-BDA1-12C45D357490}">
          <x15:cacheHierarchy aggregatedColumn="15"/>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815266319441" createdVersion="5" refreshedVersion="7" minRefreshableVersion="3" recordCount="0" supportSubquery="1" supportAdvancedDrill="1" xr:uid="{3B3EDE1E-3FE3-4341-847B-C72BBD2CA81F}">
  <cacheSource type="external" connectionId="4"/>
  <cacheFields count="5">
    <cacheField name="[Measures].[Sum of Amount]" caption="Sum of Amount" numFmtId="0" hierarchy="23" level="32767"/>
    <cacheField name="[Regions].[Country].[Country]" caption="Country" numFmtId="0" hierarchy="7" level="1">
      <sharedItems count="3">
        <s v="Germany"/>
        <s v="India"/>
        <s v="USA"/>
      </sharedItems>
    </cacheField>
    <cacheField name="[Measures].[Sum of Annual Budget]" caption="Sum of Annual Budget" numFmtId="0" hierarchy="25" level="32767"/>
    <cacheField name="[Transactions].[High_Bonus_Spend_flag].[High_Bonus_Spend_flag]" caption="High_Bonus_Spend_flag" numFmtId="0" hierarchy="17" level="1">
      <sharedItems containsSemiMixedTypes="0" containsNonDate="0" containsString="0"/>
    </cacheField>
    <cacheField name="[Accounts].[Category].[Category]" caption="Category" numFmtId="0" hierarchy="1" level="1">
      <sharedItems count="4">
        <s v="Rent"/>
        <s v="Salary"/>
        <s v="Software"/>
        <s v="Travel"/>
      </sharedItems>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fieldsUsage count="2">
        <fieldUsage x="-1"/>
        <fieldUsage x="4"/>
      </fieldsUsage>
    </cacheHierarchy>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fieldsUsage count="2">
        <fieldUsage x="-1"/>
        <fieldUsage x="1"/>
      </fieldsUsage>
    </cacheHierarchy>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2" memberValueDatatype="130" unbalanced="0"/>
    <cacheHierarchy uniqueName="[Transactions].[Bonuses]" caption="Bonuses" attribute="1" defaultMemberUniqueName="[Transactions].[Bonuses].[All]" allUniqueName="[Transactions].[Bonuses].[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High_Bonus_Spend_flag]" caption="High_Bonus_Spend_flag" attribute="1" defaultMemberUniqueName="[Transactions].[High_Bonus_Spend_flag].[All]" allUniqueName="[Transactions].[High_Bonus_Spend_flag].[All]" dimensionUniqueName="[Transactions]" displayFolder="" count="2" memberValueDatatype="130" unbalanced="0">
      <fieldsUsage count="2">
        <fieldUsage x="-1"/>
        <fieldUsage x="3"/>
      </fieldsUsage>
    </cacheHierarchy>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XL_Count Regions]" caption="__XL_Count Regions" measure="1" displayFolder="" measureGroup="Regions" count="0" hidden="1"/>
    <cacheHierarchy uniqueName="[Measures].[__XL_Count Accounts]" caption="__XL_Count Accounts" measure="1" displayFolder="" measureGroup="Account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Monthly_Budget]" caption="Sum of Monthly_Budget" measure="1" displayFolder="" measureGroup="Accounts" count="0" hidden="1">
      <extLst>
        <ext xmlns:x15="http://schemas.microsoft.com/office/spreadsheetml/2010/11/main" uri="{B97F6D7D-B522-45F9-BDA1-12C45D357490}">
          <x15:cacheHierarchy aggregatedColumn="2"/>
        </ext>
      </extLst>
    </cacheHierarchy>
    <cacheHierarchy uniqueName="[Measures].[Sum of Annual Budget]" caption="Sum of Annual Budget" measure="1" displayFolder="" measureGroup="Account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Account_Bonus_Rate_per_Transaction]" caption="Sum of Account_Bonus_Rate_per_Transaction" measure="1" displayFolder="" measureGroup="Accounts" count="0" hidden="1">
      <extLst>
        <ext xmlns:x15="http://schemas.microsoft.com/office/spreadsheetml/2010/11/main" uri="{B97F6D7D-B522-45F9-BDA1-12C45D357490}">
          <x15:cacheHierarchy aggregatedColumn="3"/>
        </ext>
      </extLst>
    </cacheHierarchy>
    <cacheHierarchy uniqueName="[Measures].[Sum of Bonuses]" caption="Sum of Bonuses" measure="1" displayFolder="" measureGroup="Transactions" count="0" hidden="1">
      <extLst>
        <ext xmlns:x15="http://schemas.microsoft.com/office/spreadsheetml/2010/11/main" uri="{B97F6D7D-B522-45F9-BDA1-12C45D357490}">
          <x15:cacheHierarchy aggregatedColumn="15"/>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815267013888" createdVersion="5" refreshedVersion="7" minRefreshableVersion="3" recordCount="0" supportSubquery="1" supportAdvancedDrill="1" xr:uid="{C50D598B-1BEF-410D-874B-54E83D8CDD4A}">
  <cacheSource type="external" connectionId="4"/>
  <cacheFields count="3">
    <cacheField name="[Measures].[Sum of Amount]" caption="Sum of Amount" numFmtId="0" hierarchy="23" level="32767"/>
    <cacheField name="[Accounts].[Category].[Category]" caption="Category" numFmtId="0" hierarchy="1" level="1">
      <sharedItems count="4">
        <s v="Rent"/>
        <s v="Salary"/>
        <s v="Software"/>
        <s v="Travel"/>
      </sharedItems>
    </cacheField>
    <cacheField name="[Transactions].[High_Bonus_Spend_flag].[High_Bonus_Spend_flag]" caption="High_Bonus_Spend_flag" numFmtId="0" hierarchy="1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fieldsUsage count="2">
        <fieldUsage x="-1"/>
        <fieldUsage x="1"/>
      </fieldsUsage>
    </cacheHierarchy>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2" memberValueDatatype="130" unbalanced="0"/>
    <cacheHierarchy uniqueName="[Transactions].[Bonuses]" caption="Bonuses" attribute="1" defaultMemberUniqueName="[Transactions].[Bonuses].[All]" allUniqueName="[Transactions].[Bonuses].[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High_Bonus_Spend_flag]" caption="High_Bonus_Spend_flag" attribute="1" defaultMemberUniqueName="[Transactions].[High_Bonus_Spend_flag].[All]" allUniqueName="[Transactions].[High_Bonus_Spend_flag].[All]" dimensionUniqueName="[Transactions]" displayFolder="" count="2" memberValueDatatype="130" unbalanced="0">
      <fieldsUsage count="2">
        <fieldUsage x="-1"/>
        <fieldUsage x="2"/>
      </fieldsUsage>
    </cacheHierarchy>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XL_Count Regions]" caption="__XL_Count Regions" measure="1" displayFolder="" measureGroup="Regions" count="0" hidden="1"/>
    <cacheHierarchy uniqueName="[Measures].[__XL_Count Accounts]" caption="__XL_Count Accounts" measure="1" displayFolder="" measureGroup="Account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Monthly_Budget]" caption="Sum of Monthly_Budget" measure="1" displayFolder="" measureGroup="Accounts" count="0" hidden="1">
      <extLst>
        <ext xmlns:x15="http://schemas.microsoft.com/office/spreadsheetml/2010/11/main" uri="{B97F6D7D-B522-45F9-BDA1-12C45D357490}">
          <x15:cacheHierarchy aggregatedColumn="2"/>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y uniqueName="[Measures].[Sum of Account_Bonus_Rate_per_Transaction]" caption="Sum of Account_Bonus_Rate_per_Transaction" measure="1" displayFolder="" measureGroup="Accounts" count="0" hidden="1">
      <extLst>
        <ext xmlns:x15="http://schemas.microsoft.com/office/spreadsheetml/2010/11/main" uri="{B97F6D7D-B522-45F9-BDA1-12C45D357490}">
          <x15:cacheHierarchy aggregatedColumn="3"/>
        </ext>
      </extLst>
    </cacheHierarchy>
    <cacheHierarchy uniqueName="[Measures].[Sum of Bonuses]" caption="Sum of Bonuses" measure="1" displayFolder="" measureGroup="Transactions" count="0" hidden="1">
      <extLst>
        <ext xmlns:x15="http://schemas.microsoft.com/office/spreadsheetml/2010/11/main" uri="{B97F6D7D-B522-45F9-BDA1-12C45D357490}">
          <x15:cacheHierarchy aggregatedColumn="15"/>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81621099537" createdVersion="5" refreshedVersion="7" minRefreshableVersion="3" recordCount="0" supportSubquery="1" supportAdvancedDrill="1" xr:uid="{8DE73EF6-1570-4BA9-B7D7-DBAF538A184F}">
  <cacheSource type="external" connectionId="4"/>
  <cacheFields count="3">
    <cacheField name="[Measures].[Sum of Amount]" caption="Sum of Amount" numFmtId="0" hierarchy="23" level="32767"/>
    <cacheField name="[Regions].[Region].[Region]" caption="Region" numFmtId="0" hierarchy="6" level="1">
      <sharedItems count="3">
        <s v="APAC"/>
        <s v="EMEA"/>
        <s v="North America"/>
      </sharedItems>
    </cacheField>
    <cacheField name="[Transactions].[High_Bonus_Spend_flag].[High_Bonus_Spend_flag]" caption="High_Bonus_Spend_flag" numFmtId="0" hierarchy="1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2"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2"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2" memberValueDatatype="5" unbalanced="0"/>
    <cacheHierarchy uniqueName="[Accounts].[Annual Budget]" caption="Annual Budget" attribute="1" defaultMemberUniqueName="[Accounts].[Annual Budget].[All]" allUniqueName="[Accounts].[Annual Budget].[All]" dimensionUniqueName="[Accounts]" displayFolder="" count="2" memberValueDatatype="5" unbalanced="0"/>
    <cacheHierarchy uniqueName="[Regions].[EntityID]" caption="EntityID" attribute="1" defaultMemberUniqueName="[Regions].[EntityID].[All]" allUniqueName="[Regions].[EntityID].[All]" dimensionUniqueName="[Regions]" displayFolder="" count="2" memberValueDatatype="130" unbalanced="0"/>
    <cacheHierarchy uniqueName="[Regions].[Region]" caption="Region" attribute="1" defaultMemberUniqueName="[Regions].[Region].[All]" allUniqueName="[Regions].[Region].[All]" dimensionUniqueName="[Regions]" displayFolder="" count="2" memberValueDatatype="130" unbalanced="0">
      <fieldsUsage count="2">
        <fieldUsage x="-1"/>
        <fieldUsage x="1"/>
      </fieldsUsage>
    </cacheHierarchy>
    <cacheHierarchy uniqueName="[Regions].[Country]" caption="Country" attribute="1" defaultMemberUniqueName="[Regions].[Country].[All]" allUniqueName="[Regions].[Country].[All]" dimensionUniqueName="[Regions]" displayFolder="" count="2" memberValueDatatype="13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Transactions].[AccountID]" caption="AccountID" attribute="1" defaultMemberUniqueName="[Transactions].[AccountID].[All]" allUniqueName="[Transactions].[AccountID].[All]" dimensionUniqueName="[Transactions]" displayFolder="" count="2" memberValueDatatype="130" unbalanced="0"/>
    <cacheHierarchy uniqueName="[Transactions].[EntityID]" caption="EntityID" attribute="1" defaultMemberUniqueName="[Transactions].[EntityID].[All]" allUniqueName="[Transactions].[EntityID].[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2"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2" memberValueDatatype="130" unbalanced="0"/>
    <cacheHierarchy uniqueName="[Transactions].[Bonuses]" caption="Bonuses" attribute="1" defaultMemberUniqueName="[Transactions].[Bonuses].[All]" allUniqueName="[Transactions].[Bonuses].[All]" dimensionUniqueName="[Transactions]" displayFolder="" count="2"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High_Bonus_Spend_flag]" caption="High_Bonus_Spend_flag" attribute="1" defaultMemberUniqueName="[Transactions].[High_Bonus_Spend_flag].[All]" allUniqueName="[Transactions].[High_Bonus_Spend_flag].[All]" dimensionUniqueName="[Transactions]" displayFolder="" count="2" memberValueDatatype="130" unbalanced="0">
      <fieldsUsage count="2">
        <fieldUsage x="-1"/>
        <fieldUsage x="2"/>
      </fieldsUsage>
    </cacheHierarchy>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2" memberValueDatatype="20" unbalanced="0" hidden="1"/>
    <cacheHierarchy uniqueName="[Measures].[__XL_Count Transactions]" caption="__XL_Count Transactions" measure="1" displayFolder="" measureGroup="Transactions" count="0" hidden="1"/>
    <cacheHierarchy uniqueName="[Measures].[__XL_Count Regions]" caption="__XL_Count Regions" measure="1" displayFolder="" measureGroup="Regions" count="0" hidden="1"/>
    <cacheHierarchy uniqueName="[Measures].[__XL_Count Accounts]" caption="__XL_Count Accounts" measure="1" displayFolder="" measureGroup="Account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Monthly_Budget]" caption="Sum of Monthly_Budget" measure="1" displayFolder="" measureGroup="Accounts" count="0" hidden="1">
      <extLst>
        <ext xmlns:x15="http://schemas.microsoft.com/office/spreadsheetml/2010/11/main" uri="{B97F6D7D-B522-45F9-BDA1-12C45D357490}">
          <x15:cacheHierarchy aggregatedColumn="2"/>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y uniqueName="[Measures].[Sum of Account_Bonus_Rate_per_Transaction]" caption="Sum of Account_Bonus_Rate_per_Transaction" measure="1" displayFolder="" measureGroup="Accounts" count="0" hidden="1">
      <extLst>
        <ext xmlns:x15="http://schemas.microsoft.com/office/spreadsheetml/2010/11/main" uri="{B97F6D7D-B522-45F9-BDA1-12C45D357490}">
          <x15:cacheHierarchy aggregatedColumn="3"/>
        </ext>
      </extLst>
    </cacheHierarchy>
    <cacheHierarchy uniqueName="[Measures].[Sum of Bonuses]" caption="Sum of Bonuses" measure="1" displayFolder="" measureGroup="Transactions" count="0" hidden="1">
      <extLst>
        <ext xmlns:x15="http://schemas.microsoft.com/office/spreadsheetml/2010/11/main" uri="{B97F6D7D-B522-45F9-BDA1-12C45D357490}">
          <x15:cacheHierarchy aggregatedColumn="15"/>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9.598262847219" createdVersion="3" refreshedVersion="7" minRefreshableVersion="3" recordCount="0" supportSubquery="1" supportAdvancedDrill="1" xr:uid="{1E47D27A-8580-402E-9B1B-E7E9C8146321}">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2" memberValueDatatype="130" unbalanced="0"/>
    <cacheHierarchy uniqueName="[Transactions].[Bonuses]" caption="Bonuses" attribute="1" defaultMemberUniqueName="[Transactions].[Bonuses].[All]" allUniqueName="[Transactions].[Bonuses].[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High_Bonus_Spend_flag]" caption="High_Bonus_Spend_flag" attribute="1" defaultMemberUniqueName="[Transactions].[High_Bonus_Spend_flag].[All]" allUniqueName="[Transactions].[High_Bonus_Spend_flag].[All]" dimensionUniqueName="[Transactions]" displayFolder="" count="2"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XL_Count Regions]" caption="__XL_Count Regions" measure="1" displayFolder="" measureGroup="Regions" count="0" hidden="1"/>
    <cacheHierarchy uniqueName="[Measures].[__XL_Count Accounts]" caption="__XL_Count Accounts" measure="1" displayFolder="" measureGroup="Accounts" count="0" hidden="1"/>
    <cacheHierarchy uniqueName="[Measures].[__No measures defined]" caption="__No measures defined" measure="1" displayFolder="" count="0" hidden="1"/>
    <cacheHierarchy uniqueName="[Measures].[Sum of Amount]" caption="Sum of Amount" measure="1" displayFolder="" measureGroup="Transactions" count="0" hidden="1">
      <extLst>
        <ext xmlns:x15="http://schemas.microsoft.com/office/spreadsheetml/2010/11/main" uri="{B97F6D7D-B522-45F9-BDA1-12C45D357490}">
          <x15:cacheHierarchy aggregatedColumn="11"/>
        </ext>
      </extLst>
    </cacheHierarchy>
    <cacheHierarchy uniqueName="[Measures].[Sum of Monthly_Budget]" caption="Sum of Monthly_Budget" measure="1" displayFolder="" measureGroup="Accounts" count="0" hidden="1">
      <extLst>
        <ext xmlns:x15="http://schemas.microsoft.com/office/spreadsheetml/2010/11/main" uri="{B97F6D7D-B522-45F9-BDA1-12C45D357490}">
          <x15:cacheHierarchy aggregatedColumn="2"/>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y uniqueName="[Measures].[Sum of Account_Bonus_Rate_per_Transaction]" caption="Sum of Account_Bonus_Rate_per_Transaction" measure="1" displayFolder="" measureGroup="Accounts" count="0" hidden="1">
      <extLst>
        <ext xmlns:x15="http://schemas.microsoft.com/office/spreadsheetml/2010/11/main" uri="{B97F6D7D-B522-45F9-BDA1-12C45D357490}">
          <x15:cacheHierarchy aggregatedColumn="3"/>
        </ext>
      </extLst>
    </cacheHierarchy>
    <cacheHierarchy uniqueName="[Measures].[Sum of Bonuses]" caption="Sum of Bonuses" measure="1" displayFolder="" measureGroup="Transactions" count="0" hidden="1">
      <extLst>
        <ext xmlns:x15="http://schemas.microsoft.com/office/spreadsheetml/2010/11/main" uri="{B97F6D7D-B522-45F9-BDA1-12C45D357490}">
          <x15:cacheHierarchy aggregatedColumn="15"/>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0253542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EE07CB-7528-44E5-9461-1B9A0943D39E}" name="PivotTable1" cacheId="0" applyNumberFormats="0" applyBorderFormats="0" applyFontFormats="0" applyPatternFormats="0" applyAlignmentFormats="0" applyWidthHeightFormats="1" dataCaption="Values" tag="c09461c7-4cc6-4ead-93d9-e3957dfb30d5" updatedVersion="7" minRefreshableVersion="3" useAutoFormatting="1" subtotalHiddenItems="1" itemPrintTitles="1" createdVersion="5" indent="0" outline="1" outlineData="1" multipleFieldFilters="0" chartFormat="13">
  <location ref="B3:B4" firstHeaderRow="1" firstDataRow="1" firstDataCol="0"/>
  <pivotFields count="3">
    <pivotField allDrilled="1" subtotalTop="0" showAll="0" measureFilter="1"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accounts " fld="1" subtotal="count" baseField="0" baseItem="653794984"/>
  </dataField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Transactions].[High_Bonus_Spend_flag].&amp;[High spend]"/>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ctual spending "/>
    <pivotHierarchy dragToData="1" caption="Budget"/>
    <pivotHierarchy dragToData="1" caption="Annual Budget"/>
    <pivotHierarchy dragToData="1"/>
    <pivotHierarchy dragToData="1"/>
    <pivotHierarchy dragToData="1" caption="Count of accounts "/>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egion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3C01D-F6FD-4C5A-A162-7EDDEF9D9388}" name="PivotTable1" cacheId="1" applyNumberFormats="0" applyBorderFormats="0" applyFontFormats="0" applyPatternFormats="0" applyAlignmentFormats="0" applyWidthHeightFormats="1" dataCaption="Values" tag="3581dc81-a260-4036-b833-c9019008c48b" updatedVersion="7" minRefreshableVersion="3" useAutoFormatting="1" itemPrintTitles="1" createdVersion="5" indent="0" outline="1" outlineData="1" multipleFieldFilters="0" chartFormat="13">
  <location ref="B3:B4" firstHeaderRow="1" firstDataRow="1" firstDataCol="0"/>
  <pivotFields count="3">
    <pivotField allDrilled="1" subtotalTop="0" showAll="0" measureFilter="1"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spend" fld="1" baseField="0" baseItem="650645496" numFmtId="164"/>
  </dataFields>
  <formats count="6">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Transactions].[High_Bonus_Spend_flag].&amp;[High spend]"/>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pend"/>
    <pivotHierarchy dragToData="1" caption="Budget"/>
    <pivotHierarchy dragToData="1" caption="Annual Budget"/>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egion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2EDA16-E2ED-47BE-A847-1F1A183B9837}" name="PivotTable1" cacheId="2" applyNumberFormats="0" applyBorderFormats="0" applyFontFormats="0" applyPatternFormats="0" applyAlignmentFormats="0" applyWidthHeightFormats="1" dataCaption="Values" tag="66cd786e-4cf5-40f1-bc4a-0dd0a7dccfc2" updatedVersion="7" minRefreshableVersion="3" useAutoFormatting="1" itemPrintTitles="1" createdVersion="5" indent="0" outline="1" outlineData="1" multipleFieldFilters="0" chartFormat="13">
  <location ref="B3:B4" firstHeaderRow="1" firstDataRow="1" firstDataCol="0"/>
  <pivotFields count="3">
    <pivotField allDrilled="1" subtotalTop="0" showAll="0" measureFilter="1"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budget" fld="1" baseField="0" baseItem="908359976" numFmtId="164"/>
  </dataFields>
  <formats count="1">
    <format dxfId="2">
      <pivotArea outline="0" collapsedLevelsAreSubtotals="1" fieldPosition="0"/>
    </format>
  </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Transactions].[High_Bonus_Spend_flag].&amp;[High spend]"/>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ctual spending "/>
    <pivotHierarchy dragToData="1" caption="Budget"/>
    <pivotHierarchy dragToData="1" caption="total budget"/>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egion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28A284-CBED-42DD-82FA-A9DAEF3826DF}" name="PivotTable1" cacheId="3" applyNumberFormats="0" applyBorderFormats="0" applyFontFormats="0" applyPatternFormats="0" applyAlignmentFormats="0" applyWidthHeightFormats="1" dataCaption="Values" tag="4569622d-7ce4-4540-b712-bcf4aca48ed3" updatedVersion="7" minRefreshableVersion="3" useAutoFormatting="1" itemPrintTitles="1" createdVersion="5" indent="0" outline="1" outlineData="1" multipleFieldFilters="0" chartFormat="13">
  <location ref="B3:B4" firstHeaderRow="1" firstDataRow="1" firstDataCol="0"/>
  <pivotFields count="3">
    <pivotField allDrilled="1" subtotalTop="0" showAll="0" measureFilter="1"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Bonuses" fld="1" baseField="0" baseItem="0" numFmtId="164"/>
  </dataFields>
  <formats count="1">
    <format dxfId="1">
      <pivotArea outline="0" collapsedLevelsAreSubtotals="1" fieldPosition="0"/>
    </format>
  </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Transactions].[High_Bonus_Spend_flag].&amp;[High spend]"/>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ctual spending "/>
    <pivotHierarchy dragToData="1" caption="Budget"/>
    <pivotHierarchy dragToData="1" caption="Annual Budget"/>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egion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726910-5630-41F8-98FE-339DB438C7EB}" name="PivotTable1" cacheId="4" applyNumberFormats="0" applyBorderFormats="0" applyFontFormats="0" applyPatternFormats="0" applyAlignmentFormats="0" applyWidthHeightFormats="1" dataCaption="Values" tag="581ddd57-8d9f-469e-83f8-195963689829" updatedVersion="7" minRefreshableVersion="3" useAutoFormatting="1" itemPrintTitles="1" createdVersion="5" indent="0" outline="1" outlineData="1" multipleFieldFilters="0" chartFormat="11">
  <location ref="B3:D16" firstHeaderRow="0" firstDataRow="1" firstDataCol="1"/>
  <pivotFields count="5">
    <pivotField dataField="1" subtotalTop="0" showAll="0" defaultSubtotal="0"/>
    <pivotField allDrilled="1" subtotalTop="0" showAll="0" measureFilter="1"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pending" fld="0" baseField="2" baseItem="0"/>
    <dataField name="Budget" fld="3" baseField="2" baseItem="0"/>
  </dataField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5" format="9" series="1">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2">
          <reference field="4294967294" count="1" selected="0">
            <x v="0"/>
          </reference>
          <reference field="2" count="1" selected="0">
            <x v="4"/>
          </reference>
        </references>
      </pivotArea>
    </chartFormat>
    <chartFormat chart="5" format="11" series="1">
      <pivotArea type="data" outline="0" fieldPosition="0">
        <references count="2">
          <reference field="4294967294" count="1" selected="0">
            <x v="0"/>
          </reference>
          <reference field="2" count="1" selected="0">
            <x v="5"/>
          </reference>
        </references>
      </pivotArea>
    </chartFormat>
    <chartFormat chart="5" format="12" series="1">
      <pivotArea type="data" outline="0" fieldPosition="0">
        <references count="2">
          <reference field="4294967294" count="1" selected="0">
            <x v="0"/>
          </reference>
          <reference field="2" count="1" selected="0">
            <x v="6"/>
          </reference>
        </references>
      </pivotArea>
    </chartFormat>
    <chartFormat chart="5" format="13" series="1">
      <pivotArea type="data" outline="0" fieldPosition="0">
        <references count="2">
          <reference field="4294967294" count="1" selected="0">
            <x v="0"/>
          </reference>
          <reference field="2" count="1" selected="0">
            <x v="7"/>
          </reference>
        </references>
      </pivotArea>
    </chartFormat>
    <chartFormat chart="5" format="14" series="1">
      <pivotArea type="data" outline="0" fieldPosition="0">
        <references count="2">
          <reference field="4294967294" count="1" selected="0">
            <x v="0"/>
          </reference>
          <reference field="2" count="1" selected="0">
            <x v="8"/>
          </reference>
        </references>
      </pivotArea>
    </chartFormat>
    <chartFormat chart="5" format="15" series="1">
      <pivotArea type="data" outline="0" fieldPosition="0">
        <references count="2">
          <reference field="4294967294" count="1" selected="0">
            <x v="0"/>
          </reference>
          <reference field="2" count="1" selected="0">
            <x v="9"/>
          </reference>
        </references>
      </pivotArea>
    </chartFormat>
    <chartFormat chart="5" format="16" series="1">
      <pivotArea type="data" outline="0" fieldPosition="0">
        <references count="2">
          <reference field="4294967294" count="1" selected="0">
            <x v="0"/>
          </reference>
          <reference field="2" count="1" selected="0">
            <x v="10"/>
          </reference>
        </references>
      </pivotArea>
    </chartFormat>
    <chartFormat chart="5" format="17" series="1">
      <pivotArea type="data" outline="0" fieldPosition="0">
        <references count="2">
          <reference field="4294967294" count="1" selected="0">
            <x v="0"/>
          </reference>
          <reference field="2" count="1" selected="0">
            <x v="11"/>
          </reference>
        </references>
      </pivotArea>
    </chartFormat>
    <chartFormat chart="7" format="19"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1"/>
          </reference>
        </references>
      </pivotArea>
    </chartFormat>
    <chartFormat chart="7" format="20" series="1">
      <pivotArea type="data" outline="0" fieldPosition="0">
        <references count="1">
          <reference field="4294967294" count="1" selected="0">
            <x v="1"/>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Transactions].[High_Bonus_Spend_flag].&amp;[High spend]"/>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pending"/>
    <pivotHierarchy dragToData="1" caption="Budget"/>
    <pivotHierarchy dragToData="1" caption="Annual Budget"/>
    <pivotHierarchy dragToData="1"/>
    <pivotHierarchy dragToData="1"/>
    <pivotHierarchy dragToData="1"/>
  </pivotHierarchies>
  <pivotTableStyleInfo name="PivotStyleLight16" showRowHeaders="1" showColHeaders="1" showRowStripes="0" showColStripes="0" showLastColumn="1"/>
  <filters count="1">
    <filter fld="1" type="count" id="1" iMeasureHier="23">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egion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ACF295-2804-477E-88A1-E9D886B01A28}" name="PivotTable1" cacheId="5" applyNumberFormats="0" applyBorderFormats="0" applyFontFormats="0" applyPatternFormats="0" applyAlignmentFormats="0" applyWidthHeightFormats="1" dataCaption="Values" tag="2fbce03e-26e6-4675-b245-dabea7b9049b" updatedVersion="7" minRefreshableVersion="3" useAutoFormatting="1" itemPrintTitles="1" createdVersion="5" indent="0" outline="1" outlineData="1" multipleFieldFilters="0" chartFormat="5">
  <location ref="B3:D19" firstHeaderRow="0"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s>
  <rowFields count="2">
    <field x="1"/>
    <field x="4"/>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name="Actual spending " fld="0" baseField="1" baseItem="0"/>
    <dataField name="Annual Budget" fld="2" baseField="1"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Transactions].[High_Bonus_Spend_flag].&amp;[High spend]"/>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ctual spending "/>
    <pivotHierarchy dragToData="1" caption="Budget"/>
    <pivotHierarchy dragToData="1" caption="Annual Budget"/>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egion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B8090F-93AE-4A07-A2EE-C36B2500D20E}" name="PivotTable1" cacheId="6" applyNumberFormats="0" applyBorderFormats="0" applyFontFormats="0" applyPatternFormats="0" applyAlignmentFormats="0" applyWidthHeightFormats="1" dataCaption="Values" tag="bf07e85f-2fc8-4109-b4d1-ca9fa4a7d61d" updatedVersion="7" minRefreshableVersion="3" useAutoFormatting="1" itemPrintTitles="1" createdVersion="5" indent="0" outline="1" outlineData="1" multipleFieldFilters="0" chartFormat="6">
  <location ref="B3:C8"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2"/>
    </i>
    <i>
      <x v="3"/>
    </i>
    <i>
      <x v="1"/>
    </i>
    <i t="grand">
      <x/>
    </i>
  </rowItems>
  <colItems count="1">
    <i/>
  </colItems>
  <dataFields count="1">
    <dataField name="Sum of Amount" fld="0" baseField="0" baseItem="0"/>
  </dataFields>
  <formats count="1">
    <format dxfId="0">
      <pivotArea collapsedLevelsAreSubtotals="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Transactions].[High_Bonus_Spend_flag].&amp;[High spend]"/>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egion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E608B2-BF57-46A8-90BE-52C56C4CA58A}" name="PivotTable1" cacheId="7" applyNumberFormats="0" applyBorderFormats="0" applyFontFormats="0" applyPatternFormats="0" applyAlignmentFormats="0" applyWidthHeightFormats="1" dataCaption="Values" tag="09fb2a70-467f-4e45-ac09-5860cb005a03" updatedVersion="7" minRefreshableVersion="3" useAutoFormatting="1" itemPrintTitles="1" createdVersion="5" indent="0" outline="1" outlineData="1" multipleFieldFilters="0" chartFormat="4">
  <location ref="B3:C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0"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egion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35234F-28AC-4838-A02F-BD708F009864}" sourceName="[Accounts].[Category]">
  <pivotTables>
    <pivotTable tabId="2" name="PivotTable1"/>
    <pivotTable tabId="7" name="PivotTable1"/>
    <pivotTable tabId="10" name="PivotTable1"/>
    <pivotTable tabId="9" name="PivotTable1"/>
    <pivotTable tabId="8" name="PivotTable1"/>
    <pivotTable tabId="3" name="PivotTable1"/>
    <pivotTable tabId="6" name="PivotTable1"/>
    <pivotTable tabId="4" name="PivotTable1"/>
  </pivotTables>
  <data>
    <olap pivotCacheId="2025354256">
      <levels count="2">
        <level uniqueName="[Accounts].[Category].[(All)]" sourceCaption="(All)" count="0"/>
        <level uniqueName="[Accounts].[Category].[Category]" sourceCaption="Category" count="4">
          <ranges>
            <range startItem="0">
              <i n="[Accounts].[Category].&amp;[Rent]" c="Rent"/>
              <i n="[Accounts].[Category].&amp;[Salary]" c="Salary"/>
              <i n="[Accounts].[Category].&amp;[Software]" c="Software"/>
              <i n="[Accounts].[Category].&amp;[Travel]" c="Travel"/>
            </range>
          </ranges>
        </level>
      </levels>
      <selections count="1">
        <selection n="[Accoun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7FB8D0-8769-408C-A02B-34EE07B71DB5}" sourceName="[Regions].[Region]">
  <pivotTables>
    <pivotTable tabId="2" name="PivotTable1"/>
    <pivotTable tabId="7" name="PivotTable1"/>
    <pivotTable tabId="10" name="PivotTable1"/>
    <pivotTable tabId="9" name="PivotTable1"/>
    <pivotTable tabId="8" name="PivotTable1"/>
    <pivotTable tabId="3" name="PivotTable1"/>
    <pivotTable tabId="6" name="PivotTable1"/>
    <pivotTable tabId="4" name="PivotTable1"/>
  </pivotTables>
  <data>
    <olap pivotCacheId="2025354256">
      <levels count="2">
        <level uniqueName="[Regions].[Region].[(All)]" sourceCaption="(All)" count="0"/>
        <level uniqueName="[Regions].[Region].[Region]" sourceCaption="Region" count="3">
          <ranges>
            <range startItem="0">
              <i n="[Regions].[Region].&amp;[APAC]" c="APAC"/>
              <i n="[Regions].[Region].&amp;[EMEA]" c="EMEA"/>
              <i n="[Regions].[Region].&amp;[North America]" c="North America"/>
            </range>
          </ranges>
        </level>
      </levels>
      <selections count="1">
        <selection n="[Region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CAEC38E-8A01-4DB6-A0DD-B021D89BB6D7}" sourceName="[Regions].[Country]">
  <pivotTables>
    <pivotTable tabId="2" name="PivotTable1"/>
    <pivotTable tabId="7" name="PivotTable1"/>
    <pivotTable tabId="10" name="PivotTable1"/>
    <pivotTable tabId="9" name="PivotTable1"/>
    <pivotTable tabId="8" name="PivotTable1"/>
    <pivotTable tabId="3" name="PivotTable1"/>
    <pivotTable tabId="6" name="PivotTable1"/>
    <pivotTable tabId="4" name="PivotTable1"/>
  </pivotTables>
  <data>
    <olap pivotCacheId="2025354256">
      <levels count="2">
        <level uniqueName="[Regions].[Country].[(All)]" sourceCaption="(All)" count="0"/>
        <level uniqueName="[Regions].[Country].[Country]" sourceCaption="Country" count="3">
          <ranges>
            <range startItem="0">
              <i n="[Regions].[Country].&amp;[Germany]" c="Germany"/>
              <i n="[Regions].[Country].&amp;[India]" c="India"/>
              <i n="[Regions].[Country].&amp;[USA]" c="USA"/>
            </range>
          </ranges>
        </level>
      </levels>
      <selections count="1">
        <selection n="[Regions].[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_Value_Flag" xr10:uid="{00757605-3CB0-4063-8B0F-D1545508D15D}" sourceName="[Transactions].[High_Value_Flag]">
  <pivotTables>
    <pivotTable tabId="2" name="PivotTable1"/>
    <pivotTable tabId="7" name="PivotTable1"/>
    <pivotTable tabId="10" name="PivotTable1"/>
    <pivotTable tabId="9" name="PivotTable1"/>
    <pivotTable tabId="8" name="PivotTable1"/>
    <pivotTable tabId="3" name="PivotTable1"/>
    <pivotTable tabId="6" name="PivotTable1"/>
    <pivotTable tabId="4" name="PivotTable1"/>
  </pivotTables>
  <data>
    <olap pivotCacheId="2025354256">
      <levels count="2">
        <level uniqueName="[Transactions].[High_Value_Flag].[(All)]" sourceCaption="(All)" count="0"/>
        <level uniqueName="[Transactions].[High_Value_Flag].[High_Value_Flag]" sourceCaption="High_Value_Flag" count="2">
          <ranges>
            <range startItem="0">
              <i n="[Transactions].[High_Value_Flag].&amp;[No]" c="No"/>
              <i n="[Transactions].[High_Value_Flag].&amp;[Yes]" c="Yes"/>
            </range>
          </ranges>
        </level>
      </levels>
      <selections count="1">
        <selection n="[Transactions].[High_Value_Flag].[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Transaction" xr10:uid="{790034BF-F06E-4F43-AA53-3F151EF758BC}" sourceName="[Transactions].[Weekend_Transaction]">
  <pivotTables>
    <pivotTable tabId="2" name="PivotTable1"/>
    <pivotTable tabId="7" name="PivotTable1"/>
    <pivotTable tabId="10" name="PivotTable1"/>
    <pivotTable tabId="9" name="PivotTable1"/>
    <pivotTable tabId="8" name="PivotTable1"/>
    <pivotTable tabId="3" name="PivotTable1"/>
    <pivotTable tabId="6" name="PivotTable1"/>
    <pivotTable tabId="4" name="PivotTable1"/>
  </pivotTables>
  <data>
    <olap pivotCacheId="2025354256">
      <levels count="2">
        <level uniqueName="[Transactions].[Weekend_Transaction].[(All)]" sourceCaption="(All)" count="0"/>
        <level uniqueName="[Transactions].[Weekend_Transaction].[Weekend_Transaction]" sourceCaption="Weekend_Transaction" count="2">
          <ranges>
            <range startItem="0">
              <i n="[Transactions].[Weekend_Transaction].&amp;[No]" c="No"/>
              <i n="[Transactions].[Weekend_Transaction].&amp;[Yes]" c="Yes"/>
            </range>
          </ranges>
        </level>
      </levels>
      <selections count="1">
        <selection n="[Transactions].[Weekend_Transact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_Bonus_Spend_flag" xr10:uid="{39D7232B-6F5D-4703-8AB9-EC7F34C8B729}" sourceName="[Transactions].[High_Bonus_Spend_flag]">
  <pivotTables>
    <pivotTable tabId="2" name="PivotTable1"/>
  </pivotTables>
  <data>
    <olap pivotCacheId="2025354256">
      <levels count="2">
        <level uniqueName="[Transactions].[High_Bonus_Spend_flag].[(All)]" sourceCaption="(All)" count="0"/>
        <level uniqueName="[Transactions].[High_Bonus_Spend_flag].[High_Bonus_Spend_flag]" sourceCaption="High_Bonus_Spend_flag" count="2">
          <ranges>
            <range startItem="0">
              <i n="[Transactions].[High_Bonus_Spend_flag].&amp;[High spend]" c="High spend"/>
              <i n="[Transactions].[High_Bonus_Spend_flag].&amp;[Normal spend]" c="Normal spend"/>
            </range>
          </ranges>
        </level>
      </levels>
      <selections count="1">
        <selection n="[Transactions].[High_Bonus_Spend_fla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5255153-A52E-4748-B893-80D79BF0D7A1}" cache="Slicer_Category" caption="Category" level="1" rowHeight="234950"/>
  <slicer name="Region 1" xr10:uid="{62FA807B-9FAE-4124-9716-4F6A6EBECFE9}" cache="Slicer_Region" caption="Region" level="1" rowHeight="234950"/>
  <slicer name="Country 1" xr10:uid="{81F07121-D69C-46CD-AAB5-E1CD4BC9524F}" cache="Slicer_Country" caption="Country" level="1" rowHeight="234950"/>
  <slicer name="High_Value_Flag 1" xr10:uid="{8A8D2883-33F5-42EF-BB3A-7BC20388306D}" cache="Slicer_High_Value_Flag" caption="High_Value_Flag" level="1" rowHeight="234950"/>
  <slicer name="Weekend_Transaction 1" xr10:uid="{E9FB8D1B-8808-4970-9F64-459AC2C6D0B0}" cache="Slicer_Weekend_Transaction" caption="Weekend_Transaction" level="1" rowHeight="234950"/>
  <slicer name="High_Bonus_Spend_flag" xr10:uid="{C6062512-1251-4662-802C-0ABD36FF1AAE}" cache="Slicer_High_Bonus_Spend_flag" caption="High_Bonus_Spend_flag"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7C3C-15AB-4AA7-B90F-02E880932A55}">
  <dimension ref="A1"/>
  <sheetViews>
    <sheetView tabSelected="1" zoomScaleNormal="100" workbookViewId="0">
      <selection activeCell="Q29" sqref="Q29"/>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B41B-BCD2-42D8-9D84-05A85B7E41E3}">
  <dimension ref="B3:B4"/>
  <sheetViews>
    <sheetView workbookViewId="0">
      <selection activeCell="C6" sqref="C6"/>
    </sheetView>
  </sheetViews>
  <sheetFormatPr defaultRowHeight="14.4" x14ac:dyDescent="0.3"/>
  <cols>
    <col min="2" max="2" width="16.88671875" bestFit="1" customWidth="1"/>
    <col min="3" max="3" width="14.44140625" bestFit="1" customWidth="1"/>
    <col min="4" max="4" width="20.109375" bestFit="1" customWidth="1"/>
    <col min="5" max="8" width="11" bestFit="1" customWidth="1"/>
    <col min="9" max="9" width="8" bestFit="1" customWidth="1"/>
    <col min="10" max="10" width="10" bestFit="1" customWidth="1"/>
    <col min="11" max="14" width="11" bestFit="1" customWidth="1"/>
    <col min="15" max="15" width="12" bestFit="1" customWidth="1"/>
    <col min="16" max="33" width="9.77734375" bestFit="1" customWidth="1"/>
    <col min="34" max="40" width="9" bestFit="1" customWidth="1"/>
    <col min="41" max="41" width="10" bestFit="1" customWidth="1"/>
    <col min="42" max="42" width="9" bestFit="1" customWidth="1"/>
    <col min="43" max="60" width="9.77734375" bestFit="1" customWidth="1"/>
    <col min="61" max="61" width="10" bestFit="1" customWidth="1"/>
    <col min="62" max="62" width="8.77734375" bestFit="1" customWidth="1"/>
    <col min="63" max="69" width="9" bestFit="1" customWidth="1"/>
    <col min="70" max="70" width="8.77734375" bestFit="1" customWidth="1"/>
    <col min="71" max="85" width="9.77734375" bestFit="1" customWidth="1"/>
    <col min="86" max="86" width="10" bestFit="1" customWidth="1"/>
    <col min="87" max="91" width="9.77734375" bestFit="1" customWidth="1"/>
    <col min="92" max="92" width="10" bestFit="1" customWidth="1"/>
    <col min="93" max="94" width="9" bestFit="1" customWidth="1"/>
    <col min="95" max="95" width="10" bestFit="1" customWidth="1"/>
    <col min="96" max="100" width="9" bestFit="1" customWidth="1"/>
    <col min="101" max="101" width="8.77734375" bestFit="1" customWidth="1"/>
    <col min="102" max="105" width="9.77734375" bestFit="1" customWidth="1"/>
    <col min="106" max="106" width="10" bestFit="1" customWidth="1"/>
    <col min="107" max="110" width="9.77734375" bestFit="1" customWidth="1"/>
    <col min="111" max="111" width="10" bestFit="1" customWidth="1"/>
    <col min="112" max="122" width="9.77734375" bestFit="1" customWidth="1"/>
    <col min="123" max="127" width="9" bestFit="1" customWidth="1"/>
    <col min="128" max="128" width="10" bestFit="1" customWidth="1"/>
    <col min="129" max="129" width="8.77734375" bestFit="1" customWidth="1"/>
    <col min="130" max="131" width="9" bestFit="1" customWidth="1"/>
    <col min="132" max="153" width="9.77734375" bestFit="1" customWidth="1"/>
    <col min="154" max="159" width="9" bestFit="1" customWidth="1"/>
    <col min="160" max="160" width="10" bestFit="1" customWidth="1"/>
    <col min="161" max="162" width="9" bestFit="1" customWidth="1"/>
    <col min="163" max="183" width="9.77734375" bestFit="1" customWidth="1"/>
    <col min="184" max="184" width="8.77734375" bestFit="1" customWidth="1"/>
    <col min="185" max="185" width="9" bestFit="1" customWidth="1"/>
    <col min="186" max="186" width="8.77734375" bestFit="1" customWidth="1"/>
    <col min="187" max="189" width="9" bestFit="1" customWidth="1"/>
    <col min="190" max="190" width="10" bestFit="1" customWidth="1"/>
    <col min="191" max="192" width="9" bestFit="1" customWidth="1"/>
    <col min="193" max="193" width="9.77734375" bestFit="1" customWidth="1"/>
    <col min="194" max="194" width="10" bestFit="1" customWidth="1"/>
    <col min="195" max="214" width="9.77734375" bestFit="1" customWidth="1"/>
    <col min="215" max="218" width="9" bestFit="1" customWidth="1"/>
    <col min="219" max="219" width="8.77734375" bestFit="1" customWidth="1"/>
    <col min="220" max="223" width="9" bestFit="1" customWidth="1"/>
    <col min="224" max="245" width="9.77734375" bestFit="1" customWidth="1"/>
    <col min="246" max="254" width="9" bestFit="1" customWidth="1"/>
    <col min="255" max="265" width="9.77734375" bestFit="1" customWidth="1"/>
    <col min="266" max="266" width="10" bestFit="1" customWidth="1"/>
    <col min="267" max="284" width="9.77734375" bestFit="1" customWidth="1"/>
    <col min="285" max="306" width="10.77734375" bestFit="1" customWidth="1"/>
    <col min="307" max="314" width="9.77734375" bestFit="1" customWidth="1"/>
    <col min="315" max="315" width="10" bestFit="1" customWidth="1"/>
    <col min="316" max="336" width="10.77734375" bestFit="1" customWidth="1"/>
    <col min="337" max="338" width="9.77734375" bestFit="1" customWidth="1"/>
    <col min="339" max="340" width="10" bestFit="1" customWidth="1"/>
    <col min="341" max="345" width="9.77734375" bestFit="1" customWidth="1"/>
    <col min="346" max="367" width="10.77734375" bestFit="1" customWidth="1"/>
    <col min="368" max="368" width="12" bestFit="1" customWidth="1"/>
  </cols>
  <sheetData>
    <row r="3" spans="2:2" x14ac:dyDescent="0.3">
      <c r="B3" t="s">
        <v>30</v>
      </c>
    </row>
    <row r="4" spans="2:2" x14ac:dyDescent="0.3">
      <c r="B4" s="1">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EF7B7-5416-419D-8EF8-C5BD0C27F142}">
  <dimension ref="B3:B4"/>
  <sheetViews>
    <sheetView workbookViewId="0">
      <selection activeCell="B4" sqref="B4"/>
    </sheetView>
  </sheetViews>
  <sheetFormatPr defaultRowHeight="14.4" x14ac:dyDescent="0.3"/>
  <cols>
    <col min="2" max="2" width="12.33203125" bestFit="1" customWidth="1"/>
    <col min="3" max="3" width="14.44140625" bestFit="1" customWidth="1"/>
    <col min="4" max="4" width="20.109375" bestFit="1" customWidth="1"/>
    <col min="5" max="8" width="11" bestFit="1" customWidth="1"/>
    <col min="9" max="9" width="8" bestFit="1" customWidth="1"/>
    <col min="10" max="10" width="10" bestFit="1" customWidth="1"/>
    <col min="11" max="14" width="11" bestFit="1" customWidth="1"/>
    <col min="15" max="15" width="12" bestFit="1" customWidth="1"/>
    <col min="16" max="33" width="9.77734375" bestFit="1" customWidth="1"/>
    <col min="34" max="40" width="9" bestFit="1" customWidth="1"/>
    <col min="41" max="41" width="10" bestFit="1" customWidth="1"/>
    <col min="42" max="42" width="9" bestFit="1" customWidth="1"/>
    <col min="43" max="60" width="9.77734375" bestFit="1" customWidth="1"/>
    <col min="61" max="61" width="10" bestFit="1" customWidth="1"/>
    <col min="62" max="62" width="8.77734375" bestFit="1" customWidth="1"/>
    <col min="63" max="69" width="9" bestFit="1" customWidth="1"/>
    <col min="70" max="70" width="8.77734375" bestFit="1" customWidth="1"/>
    <col min="71" max="85" width="9.77734375" bestFit="1" customWidth="1"/>
    <col min="86" max="86" width="10" bestFit="1" customWidth="1"/>
    <col min="87" max="91" width="9.77734375" bestFit="1" customWidth="1"/>
    <col min="92" max="92" width="10" bestFit="1" customWidth="1"/>
    <col min="93" max="94" width="9" bestFit="1" customWidth="1"/>
    <col min="95" max="95" width="10" bestFit="1" customWidth="1"/>
    <col min="96" max="100" width="9" bestFit="1" customWidth="1"/>
    <col min="101" max="101" width="8.77734375" bestFit="1" customWidth="1"/>
    <col min="102" max="105" width="9.77734375" bestFit="1" customWidth="1"/>
    <col min="106" max="106" width="10" bestFit="1" customWidth="1"/>
    <col min="107" max="110" width="9.77734375" bestFit="1" customWidth="1"/>
    <col min="111" max="111" width="10" bestFit="1" customWidth="1"/>
    <col min="112" max="122" width="9.77734375" bestFit="1" customWidth="1"/>
    <col min="123" max="127" width="9" bestFit="1" customWidth="1"/>
    <col min="128" max="128" width="10" bestFit="1" customWidth="1"/>
    <col min="129" max="129" width="8.77734375" bestFit="1" customWidth="1"/>
    <col min="130" max="131" width="9" bestFit="1" customWidth="1"/>
    <col min="132" max="153" width="9.77734375" bestFit="1" customWidth="1"/>
    <col min="154" max="159" width="9" bestFit="1" customWidth="1"/>
    <col min="160" max="160" width="10" bestFit="1" customWidth="1"/>
    <col min="161" max="162" width="9" bestFit="1" customWidth="1"/>
    <col min="163" max="183" width="9.77734375" bestFit="1" customWidth="1"/>
    <col min="184" max="184" width="8.77734375" bestFit="1" customWidth="1"/>
    <col min="185" max="185" width="9" bestFit="1" customWidth="1"/>
    <col min="186" max="186" width="8.77734375" bestFit="1" customWidth="1"/>
    <col min="187" max="189" width="9" bestFit="1" customWidth="1"/>
    <col min="190" max="190" width="10" bestFit="1" customWidth="1"/>
    <col min="191" max="192" width="9" bestFit="1" customWidth="1"/>
    <col min="193" max="193" width="9.77734375" bestFit="1" customWidth="1"/>
    <col min="194" max="194" width="10" bestFit="1" customWidth="1"/>
    <col min="195" max="214" width="9.77734375" bestFit="1" customWidth="1"/>
    <col min="215" max="218" width="9" bestFit="1" customWidth="1"/>
    <col min="219" max="219" width="8.77734375" bestFit="1" customWidth="1"/>
    <col min="220" max="223" width="9" bestFit="1" customWidth="1"/>
    <col min="224" max="245" width="9.77734375" bestFit="1" customWidth="1"/>
    <col min="246" max="254" width="9" bestFit="1" customWidth="1"/>
    <col min="255" max="265" width="9.77734375" bestFit="1" customWidth="1"/>
    <col min="266" max="266" width="10" bestFit="1" customWidth="1"/>
    <col min="267" max="284" width="9.77734375" bestFit="1" customWidth="1"/>
    <col min="285" max="306" width="10.77734375" bestFit="1" customWidth="1"/>
    <col min="307" max="314" width="9.77734375" bestFit="1" customWidth="1"/>
    <col min="315" max="315" width="10" bestFit="1" customWidth="1"/>
    <col min="316" max="336" width="10.77734375" bestFit="1" customWidth="1"/>
    <col min="337" max="338" width="9.77734375" bestFit="1" customWidth="1"/>
    <col min="339" max="340" width="10" bestFit="1" customWidth="1"/>
    <col min="341" max="345" width="9.77734375" bestFit="1" customWidth="1"/>
    <col min="346" max="367" width="10.77734375" bestFit="1" customWidth="1"/>
    <col min="368" max="368" width="12" bestFit="1" customWidth="1"/>
  </cols>
  <sheetData>
    <row r="3" spans="2:2" x14ac:dyDescent="0.3">
      <c r="B3" t="s">
        <v>28</v>
      </c>
    </row>
    <row r="4" spans="2:2" x14ac:dyDescent="0.3">
      <c r="B4" s="5">
        <v>25050463.940000001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32299-BF9A-4672-9589-187D57339B35}">
  <dimension ref="B3:B4"/>
  <sheetViews>
    <sheetView workbookViewId="0">
      <selection activeCell="G29" sqref="G29:G32"/>
    </sheetView>
  </sheetViews>
  <sheetFormatPr defaultRowHeight="14.4" x14ac:dyDescent="0.3"/>
  <cols>
    <col min="2" max="2" width="11.33203125" bestFit="1" customWidth="1"/>
    <col min="3" max="4" width="20.109375" bestFit="1" customWidth="1"/>
    <col min="5" max="8" width="11" bestFit="1" customWidth="1"/>
    <col min="9" max="9" width="8" bestFit="1" customWidth="1"/>
    <col min="10" max="10" width="10" bestFit="1" customWidth="1"/>
    <col min="11" max="14" width="11" bestFit="1" customWidth="1"/>
    <col min="15" max="15" width="12" bestFit="1" customWidth="1"/>
    <col min="16" max="33" width="9.77734375" bestFit="1" customWidth="1"/>
    <col min="34" max="40" width="9" bestFit="1" customWidth="1"/>
    <col min="41" max="41" width="10" bestFit="1" customWidth="1"/>
    <col min="42" max="42" width="9" bestFit="1" customWidth="1"/>
    <col min="43" max="60" width="9.77734375" bestFit="1" customWidth="1"/>
    <col min="61" max="61" width="10" bestFit="1" customWidth="1"/>
    <col min="62" max="62" width="8.77734375" bestFit="1" customWidth="1"/>
    <col min="63" max="69" width="9" bestFit="1" customWidth="1"/>
    <col min="70" max="70" width="8.77734375" bestFit="1" customWidth="1"/>
    <col min="71" max="85" width="9.77734375" bestFit="1" customWidth="1"/>
    <col min="86" max="86" width="10" bestFit="1" customWidth="1"/>
    <col min="87" max="91" width="9.77734375" bestFit="1" customWidth="1"/>
    <col min="92" max="92" width="10" bestFit="1" customWidth="1"/>
    <col min="93" max="94" width="9" bestFit="1" customWidth="1"/>
    <col min="95" max="95" width="10" bestFit="1" customWidth="1"/>
    <col min="96" max="100" width="9" bestFit="1" customWidth="1"/>
    <col min="101" max="101" width="8.77734375" bestFit="1" customWidth="1"/>
    <col min="102" max="105" width="9.77734375" bestFit="1" customWidth="1"/>
    <col min="106" max="106" width="10" bestFit="1" customWidth="1"/>
    <col min="107" max="110" width="9.77734375" bestFit="1" customWidth="1"/>
    <col min="111" max="111" width="10" bestFit="1" customWidth="1"/>
    <col min="112" max="122" width="9.77734375" bestFit="1" customWidth="1"/>
    <col min="123" max="127" width="9" bestFit="1" customWidth="1"/>
    <col min="128" max="128" width="10" bestFit="1" customWidth="1"/>
    <col min="129" max="129" width="8.77734375" bestFit="1" customWidth="1"/>
    <col min="130" max="131" width="9" bestFit="1" customWidth="1"/>
    <col min="132" max="153" width="9.77734375" bestFit="1" customWidth="1"/>
    <col min="154" max="159" width="9" bestFit="1" customWidth="1"/>
    <col min="160" max="160" width="10" bestFit="1" customWidth="1"/>
    <col min="161" max="162" width="9" bestFit="1" customWidth="1"/>
    <col min="163" max="183" width="9.77734375" bestFit="1" customWidth="1"/>
    <col min="184" max="184" width="8.77734375" bestFit="1" customWidth="1"/>
    <col min="185" max="185" width="9" bestFit="1" customWidth="1"/>
    <col min="186" max="186" width="8.77734375" bestFit="1" customWidth="1"/>
    <col min="187" max="189" width="9" bestFit="1" customWidth="1"/>
    <col min="190" max="190" width="10" bestFit="1" customWidth="1"/>
    <col min="191" max="192" width="9" bestFit="1" customWidth="1"/>
    <col min="193" max="193" width="9.77734375" bestFit="1" customWidth="1"/>
    <col min="194" max="194" width="10" bestFit="1" customWidth="1"/>
    <col min="195" max="214" width="9.77734375" bestFit="1" customWidth="1"/>
    <col min="215" max="218" width="9" bestFit="1" customWidth="1"/>
    <col min="219" max="219" width="8.77734375" bestFit="1" customWidth="1"/>
    <col min="220" max="223" width="9" bestFit="1" customWidth="1"/>
    <col min="224" max="245" width="9.77734375" bestFit="1" customWidth="1"/>
    <col min="246" max="254" width="9" bestFit="1" customWidth="1"/>
    <col min="255" max="265" width="9.77734375" bestFit="1" customWidth="1"/>
    <col min="266" max="266" width="10" bestFit="1" customWidth="1"/>
    <col min="267" max="284" width="9.77734375" bestFit="1" customWidth="1"/>
    <col min="285" max="306" width="10.77734375" bestFit="1" customWidth="1"/>
    <col min="307" max="314" width="9.77734375" bestFit="1" customWidth="1"/>
    <col min="315" max="315" width="10" bestFit="1" customWidth="1"/>
    <col min="316" max="336" width="10.77734375" bestFit="1" customWidth="1"/>
    <col min="337" max="338" width="9.77734375" bestFit="1" customWidth="1"/>
    <col min="339" max="340" width="10" bestFit="1" customWidth="1"/>
    <col min="341" max="345" width="9.77734375" bestFit="1" customWidth="1"/>
    <col min="346" max="367" width="10.77734375" bestFit="1" customWidth="1"/>
    <col min="368" max="368" width="12" bestFit="1" customWidth="1"/>
  </cols>
  <sheetData>
    <row r="3" spans="2:2" x14ac:dyDescent="0.3">
      <c r="B3" t="s">
        <v>29</v>
      </c>
    </row>
    <row r="4" spans="2:2" x14ac:dyDescent="0.3">
      <c r="B4" s="6">
        <v>2580000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8BCA-6C6C-4120-B1C8-557CE157A6EB}">
  <dimension ref="B3:B4"/>
  <sheetViews>
    <sheetView workbookViewId="0">
      <selection activeCell="B4" sqref="B4"/>
    </sheetView>
  </sheetViews>
  <sheetFormatPr defaultRowHeight="14.4" x14ac:dyDescent="0.3"/>
  <cols>
    <col min="2" max="3" width="14.5546875" bestFit="1" customWidth="1"/>
    <col min="4" max="4" width="20.109375" bestFit="1" customWidth="1"/>
    <col min="5" max="8" width="11" bestFit="1" customWidth="1"/>
    <col min="9" max="9" width="8" bestFit="1" customWidth="1"/>
    <col min="10" max="10" width="10" bestFit="1" customWidth="1"/>
    <col min="11" max="14" width="11" bestFit="1" customWidth="1"/>
    <col min="15" max="15" width="12" bestFit="1" customWidth="1"/>
    <col min="16" max="33" width="9.77734375" bestFit="1" customWidth="1"/>
    <col min="34" max="40" width="9" bestFit="1" customWidth="1"/>
    <col min="41" max="41" width="10" bestFit="1" customWidth="1"/>
    <col min="42" max="42" width="9" bestFit="1" customWidth="1"/>
    <col min="43" max="60" width="9.77734375" bestFit="1" customWidth="1"/>
    <col min="61" max="61" width="10" bestFit="1" customWidth="1"/>
    <col min="62" max="62" width="8.77734375" bestFit="1" customWidth="1"/>
    <col min="63" max="69" width="9" bestFit="1" customWidth="1"/>
    <col min="70" max="70" width="8.77734375" bestFit="1" customWidth="1"/>
    <col min="71" max="85" width="9.77734375" bestFit="1" customWidth="1"/>
    <col min="86" max="86" width="10" bestFit="1" customWidth="1"/>
    <col min="87" max="91" width="9.77734375" bestFit="1" customWidth="1"/>
    <col min="92" max="92" width="10" bestFit="1" customWidth="1"/>
    <col min="93" max="94" width="9" bestFit="1" customWidth="1"/>
    <col min="95" max="95" width="10" bestFit="1" customWidth="1"/>
    <col min="96" max="100" width="9" bestFit="1" customWidth="1"/>
    <col min="101" max="101" width="8.77734375" bestFit="1" customWidth="1"/>
    <col min="102" max="105" width="9.77734375" bestFit="1" customWidth="1"/>
    <col min="106" max="106" width="10" bestFit="1" customWidth="1"/>
    <col min="107" max="110" width="9.77734375" bestFit="1" customWidth="1"/>
    <col min="111" max="111" width="10" bestFit="1" customWidth="1"/>
    <col min="112" max="122" width="9.77734375" bestFit="1" customWidth="1"/>
    <col min="123" max="127" width="9" bestFit="1" customWidth="1"/>
    <col min="128" max="128" width="10" bestFit="1" customWidth="1"/>
    <col min="129" max="129" width="8.77734375" bestFit="1" customWidth="1"/>
    <col min="130" max="131" width="9" bestFit="1" customWidth="1"/>
    <col min="132" max="153" width="9.77734375" bestFit="1" customWidth="1"/>
    <col min="154" max="159" width="9" bestFit="1" customWidth="1"/>
    <col min="160" max="160" width="10" bestFit="1" customWidth="1"/>
    <col min="161" max="162" width="9" bestFit="1" customWidth="1"/>
    <col min="163" max="183" width="9.77734375" bestFit="1" customWidth="1"/>
    <col min="184" max="184" width="8.77734375" bestFit="1" customWidth="1"/>
    <col min="185" max="185" width="9" bestFit="1" customWidth="1"/>
    <col min="186" max="186" width="8.77734375" bestFit="1" customWidth="1"/>
    <col min="187" max="189" width="9" bestFit="1" customWidth="1"/>
    <col min="190" max="190" width="10" bestFit="1" customWidth="1"/>
    <col min="191" max="192" width="9" bestFit="1" customWidth="1"/>
    <col min="193" max="193" width="9.77734375" bestFit="1" customWidth="1"/>
    <col min="194" max="194" width="10" bestFit="1" customWidth="1"/>
    <col min="195" max="214" width="9.77734375" bestFit="1" customWidth="1"/>
    <col min="215" max="218" width="9" bestFit="1" customWidth="1"/>
    <col min="219" max="219" width="8.77734375" bestFit="1" customWidth="1"/>
    <col min="220" max="223" width="9" bestFit="1" customWidth="1"/>
    <col min="224" max="245" width="9.77734375" bestFit="1" customWidth="1"/>
    <col min="246" max="254" width="9" bestFit="1" customWidth="1"/>
    <col min="255" max="265" width="9.77734375" bestFit="1" customWidth="1"/>
    <col min="266" max="266" width="10" bestFit="1" customWidth="1"/>
    <col min="267" max="284" width="9.77734375" bestFit="1" customWidth="1"/>
    <col min="285" max="306" width="10.77734375" bestFit="1" customWidth="1"/>
    <col min="307" max="314" width="9.77734375" bestFit="1" customWidth="1"/>
    <col min="315" max="315" width="10" bestFit="1" customWidth="1"/>
    <col min="316" max="336" width="10.77734375" bestFit="1" customWidth="1"/>
    <col min="337" max="338" width="9.77734375" bestFit="1" customWidth="1"/>
    <col min="339" max="340" width="10" bestFit="1" customWidth="1"/>
    <col min="341" max="345" width="9.77734375" bestFit="1" customWidth="1"/>
    <col min="346" max="367" width="10.77734375" bestFit="1" customWidth="1"/>
    <col min="368" max="368" width="12" bestFit="1" customWidth="1"/>
  </cols>
  <sheetData>
    <row r="3" spans="2:2" x14ac:dyDescent="0.3">
      <c r="B3" t="s">
        <v>27</v>
      </c>
    </row>
    <row r="4" spans="2:2" x14ac:dyDescent="0.3">
      <c r="B4" s="6">
        <v>1040638.7927999991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9718-0DD3-47D5-9B4D-0BF3F6A8C586}">
  <dimension ref="B3:D16"/>
  <sheetViews>
    <sheetView workbookViewId="0">
      <selection activeCell="C10" sqref="C10"/>
    </sheetView>
  </sheetViews>
  <sheetFormatPr defaultRowHeight="14.4" x14ac:dyDescent="0.3"/>
  <cols>
    <col min="2" max="2" width="12.5546875" bestFit="1" customWidth="1"/>
    <col min="3" max="3" width="12" bestFit="1" customWidth="1"/>
    <col min="4" max="4" width="7" bestFit="1" customWidth="1"/>
    <col min="5" max="8" width="11" bestFit="1" customWidth="1"/>
    <col min="9" max="9" width="8" bestFit="1" customWidth="1"/>
    <col min="10" max="10" width="10" bestFit="1" customWidth="1"/>
    <col min="11" max="14" width="11" bestFit="1" customWidth="1"/>
    <col min="15" max="15" width="12" bestFit="1" customWidth="1"/>
    <col min="16" max="33" width="9.77734375" bestFit="1" customWidth="1"/>
    <col min="34" max="40" width="9" bestFit="1" customWidth="1"/>
    <col min="41" max="41" width="10" bestFit="1" customWidth="1"/>
    <col min="42" max="42" width="9" bestFit="1" customWidth="1"/>
    <col min="43" max="60" width="9.77734375" bestFit="1" customWidth="1"/>
    <col min="61" max="61" width="10" bestFit="1" customWidth="1"/>
    <col min="62" max="62" width="8.77734375" bestFit="1" customWidth="1"/>
    <col min="63" max="69" width="9" bestFit="1" customWidth="1"/>
    <col min="70" max="70" width="8.77734375" bestFit="1" customWidth="1"/>
    <col min="71" max="85" width="9.77734375" bestFit="1" customWidth="1"/>
    <col min="86" max="86" width="10" bestFit="1" customWidth="1"/>
    <col min="87" max="91" width="9.77734375" bestFit="1" customWidth="1"/>
    <col min="92" max="92" width="10" bestFit="1" customWidth="1"/>
    <col min="93" max="94" width="9" bestFit="1" customWidth="1"/>
    <col min="95" max="95" width="10" bestFit="1" customWidth="1"/>
    <col min="96" max="100" width="9" bestFit="1" customWidth="1"/>
    <col min="101" max="101" width="8.77734375" bestFit="1" customWidth="1"/>
    <col min="102" max="105" width="9.77734375" bestFit="1" customWidth="1"/>
    <col min="106" max="106" width="10" bestFit="1" customWidth="1"/>
    <col min="107" max="110" width="9.77734375" bestFit="1" customWidth="1"/>
    <col min="111" max="111" width="10" bestFit="1" customWidth="1"/>
    <col min="112" max="122" width="9.77734375" bestFit="1" customWidth="1"/>
    <col min="123" max="127" width="9" bestFit="1" customWidth="1"/>
    <col min="128" max="128" width="10" bestFit="1" customWidth="1"/>
    <col min="129" max="129" width="8.77734375" bestFit="1" customWidth="1"/>
    <col min="130" max="131" width="9" bestFit="1" customWidth="1"/>
    <col min="132" max="153" width="9.77734375" bestFit="1" customWidth="1"/>
    <col min="154" max="159" width="9" bestFit="1" customWidth="1"/>
    <col min="160" max="160" width="10" bestFit="1" customWidth="1"/>
    <col min="161" max="162" width="9" bestFit="1" customWidth="1"/>
    <col min="163" max="183" width="9.77734375" bestFit="1" customWidth="1"/>
    <col min="184" max="184" width="8.77734375" bestFit="1" customWidth="1"/>
    <col min="185" max="185" width="9" bestFit="1" customWidth="1"/>
    <col min="186" max="186" width="8.77734375" bestFit="1" customWidth="1"/>
    <col min="187" max="189" width="9" bestFit="1" customWidth="1"/>
    <col min="190" max="190" width="10" bestFit="1" customWidth="1"/>
    <col min="191" max="192" width="9" bestFit="1" customWidth="1"/>
    <col min="193" max="193" width="9.77734375" bestFit="1" customWidth="1"/>
    <col min="194" max="194" width="10" bestFit="1" customWidth="1"/>
    <col min="195" max="214" width="9.77734375" bestFit="1" customWidth="1"/>
    <col min="215" max="218" width="9" bestFit="1" customWidth="1"/>
    <col min="219" max="219" width="8.77734375" bestFit="1" customWidth="1"/>
    <col min="220" max="223" width="9" bestFit="1" customWidth="1"/>
    <col min="224" max="245" width="9.77734375" bestFit="1" customWidth="1"/>
    <col min="246" max="254" width="9" bestFit="1" customWidth="1"/>
    <col min="255" max="265" width="9.77734375" bestFit="1" customWidth="1"/>
    <col min="266" max="266" width="10" bestFit="1" customWidth="1"/>
    <col min="267" max="284" width="9.77734375" bestFit="1" customWidth="1"/>
    <col min="285" max="306" width="10.77734375" bestFit="1" customWidth="1"/>
    <col min="307" max="314" width="9.77734375" bestFit="1" customWidth="1"/>
    <col min="315" max="315" width="10" bestFit="1" customWidth="1"/>
    <col min="316" max="336" width="10.77734375" bestFit="1" customWidth="1"/>
    <col min="337" max="338" width="9.77734375" bestFit="1" customWidth="1"/>
    <col min="339" max="340" width="10" bestFit="1" customWidth="1"/>
    <col min="341" max="345" width="9.77734375" bestFit="1" customWidth="1"/>
    <col min="346" max="367" width="10.77734375" bestFit="1" customWidth="1"/>
    <col min="368" max="368" width="12" bestFit="1" customWidth="1"/>
  </cols>
  <sheetData>
    <row r="3" spans="2:4" x14ac:dyDescent="0.3">
      <c r="B3" s="2" t="s">
        <v>1</v>
      </c>
      <c r="C3" t="s">
        <v>31</v>
      </c>
      <c r="D3" t="s">
        <v>32</v>
      </c>
    </row>
    <row r="4" spans="2:4" x14ac:dyDescent="0.3">
      <c r="B4" s="3" t="s">
        <v>15</v>
      </c>
      <c r="C4" s="1">
        <v>2218538.5299999998</v>
      </c>
      <c r="D4" s="1">
        <v>215000</v>
      </c>
    </row>
    <row r="5" spans="2:4" x14ac:dyDescent="0.3">
      <c r="B5" s="3" t="s">
        <v>16</v>
      </c>
      <c r="C5" s="1">
        <v>1913378.16</v>
      </c>
      <c r="D5" s="1">
        <v>215000</v>
      </c>
    </row>
    <row r="6" spans="2:4" x14ac:dyDescent="0.3">
      <c r="B6" s="3" t="s">
        <v>17</v>
      </c>
      <c r="C6" s="1">
        <v>2013884.48</v>
      </c>
      <c r="D6" s="1">
        <v>215000</v>
      </c>
    </row>
    <row r="7" spans="2:4" x14ac:dyDescent="0.3">
      <c r="B7" s="3" t="s">
        <v>18</v>
      </c>
      <c r="C7" s="1">
        <v>2094503.63</v>
      </c>
      <c r="D7" s="1">
        <v>215000</v>
      </c>
    </row>
    <row r="8" spans="2:4" x14ac:dyDescent="0.3">
      <c r="B8" s="3" t="s">
        <v>19</v>
      </c>
      <c r="C8" s="1">
        <v>2258902.64</v>
      </c>
      <c r="D8" s="1">
        <v>215000</v>
      </c>
    </row>
    <row r="9" spans="2:4" x14ac:dyDescent="0.3">
      <c r="B9" s="3" t="s">
        <v>20</v>
      </c>
      <c r="C9" s="1">
        <v>2212738.56</v>
      </c>
      <c r="D9" s="1">
        <v>215000</v>
      </c>
    </row>
    <row r="10" spans="2:4" x14ac:dyDescent="0.3">
      <c r="B10" s="3" t="s">
        <v>21</v>
      </c>
      <c r="C10" s="1">
        <v>1864627</v>
      </c>
      <c r="D10" s="1">
        <v>215000</v>
      </c>
    </row>
    <row r="11" spans="2:4" x14ac:dyDescent="0.3">
      <c r="B11" s="3" t="s">
        <v>22</v>
      </c>
      <c r="C11" s="1">
        <v>2024370.6</v>
      </c>
      <c r="D11" s="1">
        <v>215000</v>
      </c>
    </row>
    <row r="12" spans="2:4" x14ac:dyDescent="0.3">
      <c r="B12" s="3" t="s">
        <v>23</v>
      </c>
      <c r="C12" s="1">
        <v>2017012.44</v>
      </c>
      <c r="D12" s="1">
        <v>215000</v>
      </c>
    </row>
    <row r="13" spans="2:4" x14ac:dyDescent="0.3">
      <c r="B13" s="3" t="s">
        <v>24</v>
      </c>
      <c r="C13" s="1">
        <v>2077462.59</v>
      </c>
      <c r="D13" s="1">
        <v>215000</v>
      </c>
    </row>
    <row r="14" spans="2:4" x14ac:dyDescent="0.3">
      <c r="B14" s="3" t="s">
        <v>25</v>
      </c>
      <c r="C14" s="1">
        <v>2201157.84</v>
      </c>
      <c r="D14" s="1">
        <v>215000</v>
      </c>
    </row>
    <row r="15" spans="2:4" x14ac:dyDescent="0.3">
      <c r="B15" s="3" t="s">
        <v>26</v>
      </c>
      <c r="C15" s="1">
        <v>2153887.4700000002</v>
      </c>
      <c r="D15" s="1">
        <v>215000</v>
      </c>
    </row>
    <row r="16" spans="2:4" x14ac:dyDescent="0.3">
      <c r="B16" s="3" t="s">
        <v>5</v>
      </c>
      <c r="C16" s="1">
        <v>25050463.940000001</v>
      </c>
      <c r="D16" s="1">
        <v>215000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895E2-754F-4211-A2E6-19FF24995E9B}">
  <dimension ref="B3:D19"/>
  <sheetViews>
    <sheetView topLeftCell="B1" workbookViewId="0">
      <selection activeCell="B29" sqref="B29"/>
    </sheetView>
  </sheetViews>
  <sheetFormatPr defaultRowHeight="14.4" x14ac:dyDescent="0.3"/>
  <cols>
    <col min="2" max="2" width="12.5546875" bestFit="1" customWidth="1"/>
    <col min="3" max="3" width="15" bestFit="1" customWidth="1"/>
    <col min="4" max="4" width="13.5546875" bestFit="1" customWidth="1"/>
  </cols>
  <sheetData>
    <row r="3" spans="2:4" x14ac:dyDescent="0.3">
      <c r="B3" s="2" t="s">
        <v>1</v>
      </c>
      <c r="C3" t="s">
        <v>13</v>
      </c>
      <c r="D3" t="s">
        <v>14</v>
      </c>
    </row>
    <row r="4" spans="2:4" x14ac:dyDescent="0.3">
      <c r="B4" s="3" t="s">
        <v>7</v>
      </c>
      <c r="C4" s="1"/>
      <c r="D4" s="1"/>
    </row>
    <row r="5" spans="2:4" x14ac:dyDescent="0.3">
      <c r="B5" s="4" t="s">
        <v>9</v>
      </c>
      <c r="C5" s="1">
        <v>1182413.3700000001</v>
      </c>
      <c r="D5" s="1">
        <v>480000</v>
      </c>
    </row>
    <row r="6" spans="2:4" x14ac:dyDescent="0.3">
      <c r="B6" s="4" t="s">
        <v>10</v>
      </c>
      <c r="C6" s="1">
        <v>3681633.23</v>
      </c>
      <c r="D6" s="1">
        <v>1440000</v>
      </c>
    </row>
    <row r="7" spans="2:4" x14ac:dyDescent="0.3">
      <c r="B7" s="4" t="s">
        <v>11</v>
      </c>
      <c r="C7" s="1">
        <v>1820858.83</v>
      </c>
      <c r="D7" s="1">
        <v>300000</v>
      </c>
    </row>
    <row r="8" spans="2:4" x14ac:dyDescent="0.3">
      <c r="B8" s="4" t="s">
        <v>12</v>
      </c>
      <c r="C8" s="1">
        <v>2261098.84</v>
      </c>
      <c r="D8" s="1">
        <v>360000</v>
      </c>
    </row>
    <row r="9" spans="2:4" x14ac:dyDescent="0.3">
      <c r="B9" s="3" t="s">
        <v>6</v>
      </c>
      <c r="C9" s="1"/>
      <c r="D9" s="1"/>
    </row>
    <row r="10" spans="2:4" x14ac:dyDescent="0.3">
      <c r="B10" s="4" t="s">
        <v>9</v>
      </c>
      <c r="C10" s="1">
        <v>935779.94</v>
      </c>
      <c r="D10" s="1">
        <v>480000</v>
      </c>
    </row>
    <row r="11" spans="2:4" x14ac:dyDescent="0.3">
      <c r="B11" s="4" t="s">
        <v>10</v>
      </c>
      <c r="C11" s="1">
        <v>2646440.64</v>
      </c>
      <c r="D11" s="1">
        <v>1440000</v>
      </c>
    </row>
    <row r="12" spans="2:4" x14ac:dyDescent="0.3">
      <c r="B12" s="4" t="s">
        <v>11</v>
      </c>
      <c r="C12" s="1">
        <v>1301134.03</v>
      </c>
      <c r="D12" s="1">
        <v>300000</v>
      </c>
    </row>
    <row r="13" spans="2:4" x14ac:dyDescent="0.3">
      <c r="B13" s="4" t="s">
        <v>12</v>
      </c>
      <c r="C13" s="1">
        <v>1294164.02</v>
      </c>
      <c r="D13" s="1">
        <v>360000</v>
      </c>
    </row>
    <row r="14" spans="2:4" x14ac:dyDescent="0.3">
      <c r="B14" s="3" t="s">
        <v>8</v>
      </c>
      <c r="C14" s="1"/>
      <c r="D14" s="1"/>
    </row>
    <row r="15" spans="2:4" x14ac:dyDescent="0.3">
      <c r="B15" s="4" t="s">
        <v>9</v>
      </c>
      <c r="C15" s="1">
        <v>1435202.62</v>
      </c>
      <c r="D15" s="1">
        <v>480000</v>
      </c>
    </row>
    <row r="16" spans="2:4" x14ac:dyDescent="0.3">
      <c r="B16" s="4" t="s">
        <v>10</v>
      </c>
      <c r="C16" s="1">
        <v>4002252.46</v>
      </c>
      <c r="D16" s="1">
        <v>1440000</v>
      </c>
    </row>
    <row r="17" spans="2:4" x14ac:dyDescent="0.3">
      <c r="B17" s="4" t="s">
        <v>11</v>
      </c>
      <c r="C17" s="1">
        <v>2032553.37</v>
      </c>
      <c r="D17" s="1">
        <v>300000</v>
      </c>
    </row>
    <row r="18" spans="2:4" x14ac:dyDescent="0.3">
      <c r="B18" s="4" t="s">
        <v>12</v>
      </c>
      <c r="C18" s="1">
        <v>2456932.59</v>
      </c>
      <c r="D18" s="1">
        <v>360000</v>
      </c>
    </row>
    <row r="19" spans="2:4" x14ac:dyDescent="0.3">
      <c r="B19" s="3" t="s">
        <v>5</v>
      </c>
      <c r="C19" s="1">
        <v>25050463.940000001</v>
      </c>
      <c r="D19" s="1">
        <v>2580000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957A-81A2-4F52-AD27-C136262E9259}">
  <dimension ref="B3:C8"/>
  <sheetViews>
    <sheetView workbookViewId="0">
      <selection activeCell="L21" sqref="L21"/>
    </sheetView>
  </sheetViews>
  <sheetFormatPr defaultRowHeight="14.4" x14ac:dyDescent="0.3"/>
  <cols>
    <col min="2" max="2" width="12.5546875" bestFit="1" customWidth="1"/>
    <col min="3" max="3" width="14.44140625" bestFit="1" customWidth="1"/>
  </cols>
  <sheetData>
    <row r="3" spans="2:3" x14ac:dyDescent="0.3">
      <c r="B3" s="2" t="s">
        <v>1</v>
      </c>
      <c r="C3" t="s">
        <v>0</v>
      </c>
    </row>
    <row r="4" spans="2:3" x14ac:dyDescent="0.3">
      <c r="B4" s="3" t="s">
        <v>9</v>
      </c>
      <c r="C4" s="6">
        <v>3553395.93</v>
      </c>
    </row>
    <row r="5" spans="2:3" x14ac:dyDescent="0.3">
      <c r="B5" s="3" t="s">
        <v>11</v>
      </c>
      <c r="C5" s="6">
        <v>5154546.2300000004</v>
      </c>
    </row>
    <row r="6" spans="2:3" x14ac:dyDescent="0.3">
      <c r="B6" s="3" t="s">
        <v>12</v>
      </c>
      <c r="C6" s="6">
        <v>6012195.4500000002</v>
      </c>
    </row>
    <row r="7" spans="2:3" x14ac:dyDescent="0.3">
      <c r="B7" s="3" t="s">
        <v>10</v>
      </c>
      <c r="C7" s="6">
        <v>10330326.33</v>
      </c>
    </row>
    <row r="8" spans="2:3" x14ac:dyDescent="0.3">
      <c r="B8" s="3" t="s">
        <v>5</v>
      </c>
      <c r="C8" s="1">
        <v>25050463.940000001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50CDD-6424-455D-8B48-F934FD9A1D56}">
  <dimension ref="B3:C7"/>
  <sheetViews>
    <sheetView workbookViewId="0">
      <selection activeCell="B5" sqref="B5"/>
    </sheetView>
  </sheetViews>
  <sheetFormatPr defaultRowHeight="14.4" x14ac:dyDescent="0.3"/>
  <cols>
    <col min="2" max="2" width="12.88671875" bestFit="1" customWidth="1"/>
    <col min="3" max="3" width="14.44140625" bestFit="1" customWidth="1"/>
  </cols>
  <sheetData>
    <row r="3" spans="2:3" x14ac:dyDescent="0.3">
      <c r="B3" s="2" t="s">
        <v>1</v>
      </c>
      <c r="C3" t="s">
        <v>0</v>
      </c>
    </row>
    <row r="4" spans="2:3" x14ac:dyDescent="0.3">
      <c r="B4" s="3" t="s">
        <v>2</v>
      </c>
      <c r="C4" s="1">
        <v>6177518.6299999999</v>
      </c>
    </row>
    <row r="5" spans="2:3" x14ac:dyDescent="0.3">
      <c r="B5" s="3" t="s">
        <v>3</v>
      </c>
      <c r="C5" s="1">
        <v>8946004.2699999996</v>
      </c>
    </row>
    <row r="6" spans="2:3" x14ac:dyDescent="0.3">
      <c r="B6" s="3" t="s">
        <v>4</v>
      </c>
      <c r="C6" s="1">
        <v>9926941.0399999991</v>
      </c>
    </row>
    <row r="7" spans="2:3" x14ac:dyDescent="0.3">
      <c r="B7" s="3" t="s">
        <v>5</v>
      </c>
      <c r="C7" s="1">
        <v>25050463.940000001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66B831F-9F2F-4825-9CD1-6147B89141BD}">
  <ds:schemaRefs/>
</ds:datastoreItem>
</file>

<file path=customXml/itemProps2.xml><?xml version="1.0" encoding="utf-8"?>
<ds:datastoreItem xmlns:ds="http://schemas.openxmlformats.org/officeDocument/2006/customXml" ds:itemID="{D5ED194F-4158-48E7-8BCB-535D8D0BDF93}">
  <ds:schemaRefs/>
</ds:datastoreItem>
</file>

<file path=customXml/itemProps3.xml><?xml version="1.0" encoding="utf-8"?>
<ds:datastoreItem xmlns:ds="http://schemas.openxmlformats.org/officeDocument/2006/customXml" ds:itemID="{1517F84B-6C7A-4B71-B999-81960D7A4BAB}">
  <ds:schemaRefs/>
</ds:datastoreItem>
</file>

<file path=customXml/itemProps4.xml><?xml version="1.0" encoding="utf-8"?>
<ds:datastoreItem xmlns:ds="http://schemas.openxmlformats.org/officeDocument/2006/customXml" ds:itemID="{406848FD-2BBE-4275-8B13-9310CF8F5120}">
  <ds:schemaRefs/>
</ds:datastoreItem>
</file>

<file path=customXml/itemProps5.xml><?xml version="1.0" encoding="utf-8"?>
<ds:datastoreItem xmlns:ds="http://schemas.openxmlformats.org/officeDocument/2006/customXml" ds:itemID="{1D8A45E5-EBF7-4AA6-9401-D0A2C43C7DF9}">
  <ds:schemaRefs/>
</ds:datastoreItem>
</file>

<file path=customXml/itemProps6.xml><?xml version="1.0" encoding="utf-8"?>
<ds:datastoreItem xmlns:ds="http://schemas.openxmlformats.org/officeDocument/2006/customXml" ds:itemID="{C4BD1A2E-3281-4AE8-8EDE-BB2CD21F4F62}">
  <ds:schemaRefs/>
</ds:datastoreItem>
</file>

<file path=customXml/itemProps7.xml><?xml version="1.0" encoding="utf-8"?>
<ds:datastoreItem xmlns:ds="http://schemas.openxmlformats.org/officeDocument/2006/customXml" ds:itemID="{DB2ED348-471A-48C1-A172-9754933FB747}">
  <ds:schemaRefs/>
</ds:datastoreItem>
</file>

<file path=customXml/itemProps8.xml><?xml version="1.0" encoding="utf-8"?>
<ds:datastoreItem xmlns:ds="http://schemas.openxmlformats.org/officeDocument/2006/customXml" ds:itemID="{19270C1E-048F-4B93-B455-67DD4C22F5DB}">
  <ds:schemaRefs/>
</ds:datastoreItem>
</file>

<file path=customXml/itemProps9.xml><?xml version="1.0" encoding="utf-8"?>
<ds:datastoreItem xmlns:ds="http://schemas.openxmlformats.org/officeDocument/2006/customXml" ds:itemID="{1DF40686-5755-4D9F-9D82-C9B88A8DB423}">
  <ds:schemaRefs/>
</ds:datastoreItem>
</file>

<file path=customXml/itemProps10.xml><?xml version="1.0" encoding="utf-8"?>
<ds:datastoreItem xmlns:ds="http://schemas.openxmlformats.org/officeDocument/2006/customXml" ds:itemID="{D5923683-F474-49FC-A65F-6E9D21308826}">
  <ds:schemaRefs/>
</ds:datastoreItem>
</file>

<file path=customXml/itemProps11.xml><?xml version="1.0" encoding="utf-8"?>
<ds:datastoreItem xmlns:ds="http://schemas.openxmlformats.org/officeDocument/2006/customXml" ds:itemID="{5666E0D6-2CAA-4983-B95D-798B5470FB29}">
  <ds:schemaRefs/>
</ds:datastoreItem>
</file>

<file path=customXml/itemProps12.xml><?xml version="1.0" encoding="utf-8"?>
<ds:datastoreItem xmlns:ds="http://schemas.openxmlformats.org/officeDocument/2006/customXml" ds:itemID="{4AAF4FF8-7EB7-4AB5-8D95-486FEEA587DF}">
  <ds:schemaRefs/>
</ds:datastoreItem>
</file>

<file path=customXml/itemProps13.xml><?xml version="1.0" encoding="utf-8"?>
<ds:datastoreItem xmlns:ds="http://schemas.openxmlformats.org/officeDocument/2006/customXml" ds:itemID="{5DF45558-F46F-4D6D-819B-02E9271F8163}">
  <ds:schemaRefs/>
</ds:datastoreItem>
</file>

<file path=customXml/itemProps14.xml><?xml version="1.0" encoding="utf-8"?>
<ds:datastoreItem xmlns:ds="http://schemas.openxmlformats.org/officeDocument/2006/customXml" ds:itemID="{F4880A0F-EF44-4985-86B6-029612D91122}">
  <ds:schemaRefs/>
</ds:datastoreItem>
</file>

<file path=customXml/itemProps15.xml><?xml version="1.0" encoding="utf-8"?>
<ds:datastoreItem xmlns:ds="http://schemas.openxmlformats.org/officeDocument/2006/customXml" ds:itemID="{170565DC-EAE2-4525-AD80-7809667516E0}">
  <ds:schemaRefs/>
</ds:datastoreItem>
</file>

<file path=customXml/itemProps16.xml><?xml version="1.0" encoding="utf-8"?>
<ds:datastoreItem xmlns:ds="http://schemas.openxmlformats.org/officeDocument/2006/customXml" ds:itemID="{DE3FF45E-78C8-471A-A812-6E7568DF5331}">
  <ds:schemaRefs/>
</ds:datastoreItem>
</file>

<file path=customXml/itemProps17.xml><?xml version="1.0" encoding="utf-8"?>
<ds:datastoreItem xmlns:ds="http://schemas.openxmlformats.org/officeDocument/2006/customXml" ds:itemID="{4BAD16D0-64C1-4E54-A93F-C461F149E787}">
  <ds:schemaRefs/>
</ds:datastoreItem>
</file>

<file path=customXml/itemProps18.xml><?xml version="1.0" encoding="utf-8"?>
<ds:datastoreItem xmlns:ds="http://schemas.openxmlformats.org/officeDocument/2006/customXml" ds:itemID="{E1FEA324-3E78-45F6-B75F-F774391FA3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 count of accounts</vt:lpstr>
      <vt:lpstr>KPI total spend</vt:lpstr>
      <vt:lpstr>KPI total budget</vt:lpstr>
      <vt:lpstr>KPI total bonus</vt:lpstr>
      <vt:lpstr>Spending trend</vt:lpstr>
      <vt:lpstr>spending vs budget</vt:lpstr>
      <vt:lpstr>Spending by category</vt:lpstr>
      <vt:lpstr>spending by 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2026-05-25T12:08:14Z</dcterms:created>
  <dcterms:modified xsi:type="dcterms:W3CDTF">2026-06-04T14:48:48Z</dcterms:modified>
</cp:coreProperties>
</file>